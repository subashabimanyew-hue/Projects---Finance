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JARAJAN\Desktop\Pro Re\"/>
    </mc:Choice>
  </mc:AlternateContent>
  <xr:revisionPtr revIDLastSave="0" documentId="8_{771B7560-55FB-4EDB-981F-6EA708671DA0}" xr6:coauthVersionLast="47" xr6:coauthVersionMax="47" xr10:uidLastSave="{00000000-0000-0000-0000-000000000000}"/>
  <bookViews>
    <workbookView xWindow="-108" yWindow="-108" windowWidth="23256" windowHeight="13176" activeTab="4" xr2:uid="{00000000-000D-0000-FFFF-FFFF00000000}"/>
  </bookViews>
  <sheets>
    <sheet name="Cover" sheetId="1" r:id="rId1"/>
    <sheet name="Assumptions" sheetId="2" r:id="rId2"/>
    <sheet name="Arjun Mehta" sheetId="3" r:id="rId3"/>
    <sheet name="Suresh Rajan" sheetId="4" r:id="rId4"/>
    <sheet name="Priya Kapoor" sheetId="5" r:id="rId5"/>
    <sheet name="Comparis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5" l="1"/>
  <c r="C52" i="5"/>
  <c r="C51" i="5"/>
  <c r="C50" i="5"/>
  <c r="C49" i="5"/>
  <c r="C48" i="5"/>
  <c r="C47" i="5"/>
  <c r="C46" i="5"/>
  <c r="C45" i="5"/>
  <c r="C53" i="4"/>
  <c r="C52" i="4"/>
  <c r="C51" i="4"/>
  <c r="C50" i="4"/>
  <c r="C49" i="4"/>
  <c r="C48" i="4"/>
  <c r="C47" i="4"/>
  <c r="C46" i="4"/>
  <c r="C45" i="4"/>
  <c r="C54" i="3"/>
  <c r="C53" i="3"/>
  <c r="C52" i="3"/>
  <c r="C51" i="3"/>
  <c r="C50" i="3"/>
  <c r="C49" i="3"/>
  <c r="C48" i="3"/>
  <c r="C47" i="3"/>
  <c r="C46" i="3"/>
  <c r="E30" i="6"/>
  <c r="E18" i="6"/>
  <c r="D18" i="6"/>
  <c r="C18" i="6"/>
  <c r="E17" i="6"/>
  <c r="D17" i="6"/>
  <c r="C17" i="6"/>
  <c r="E16" i="6"/>
  <c r="D16" i="6"/>
  <c r="C16" i="6"/>
  <c r="C44" i="5"/>
  <c r="C35" i="5"/>
  <c r="C30" i="5"/>
  <c r="H29" i="5"/>
  <c r="F29" i="5"/>
  <c r="E29" i="5"/>
  <c r="G29" i="5" s="1"/>
  <c r="D29" i="5"/>
  <c r="H28" i="5"/>
  <c r="F28" i="5"/>
  <c r="E28" i="5"/>
  <c r="G28" i="5" s="1"/>
  <c r="D28" i="5"/>
  <c r="H27" i="5"/>
  <c r="G27" i="5"/>
  <c r="F27" i="5"/>
  <c r="E27" i="5"/>
  <c r="D27" i="5"/>
  <c r="F26" i="5"/>
  <c r="H26" i="5" s="1"/>
  <c r="E26" i="5"/>
  <c r="G26" i="5" s="1"/>
  <c r="D26" i="5"/>
  <c r="F25" i="5"/>
  <c r="H25" i="5" s="1"/>
  <c r="E25" i="5"/>
  <c r="G25" i="5" s="1"/>
  <c r="D25" i="5"/>
  <c r="D30" i="5" s="1"/>
  <c r="E11" i="6" s="1"/>
  <c r="F24" i="5"/>
  <c r="H24" i="5" s="1"/>
  <c r="E24" i="5"/>
  <c r="G24" i="5" s="1"/>
  <c r="D24" i="5"/>
  <c r="F23" i="5"/>
  <c r="H23" i="5" s="1"/>
  <c r="H30" i="5" s="1"/>
  <c r="E23" i="5"/>
  <c r="G23" i="5" s="1"/>
  <c r="D23" i="5"/>
  <c r="H22" i="5"/>
  <c r="G22" i="5"/>
  <c r="F22" i="5"/>
  <c r="E22" i="5"/>
  <c r="D22" i="5"/>
  <c r="C44" i="4"/>
  <c r="C35" i="4"/>
  <c r="C30" i="4"/>
  <c r="F29" i="4"/>
  <c r="H29" i="4" s="1"/>
  <c r="E29" i="4"/>
  <c r="G29" i="4" s="1"/>
  <c r="D29" i="4"/>
  <c r="H28" i="4"/>
  <c r="F28" i="4"/>
  <c r="E28" i="4"/>
  <c r="G28" i="4" s="1"/>
  <c r="D28" i="4"/>
  <c r="H27" i="4"/>
  <c r="F27" i="4"/>
  <c r="E27" i="4"/>
  <c r="G27" i="4" s="1"/>
  <c r="D27" i="4"/>
  <c r="F26" i="4"/>
  <c r="H26" i="4" s="1"/>
  <c r="E26" i="4"/>
  <c r="G26" i="4" s="1"/>
  <c r="D26" i="4"/>
  <c r="G25" i="4"/>
  <c r="F25" i="4"/>
  <c r="H25" i="4" s="1"/>
  <c r="E25" i="4"/>
  <c r="D25" i="4"/>
  <c r="F24" i="4"/>
  <c r="H24" i="4" s="1"/>
  <c r="E24" i="4"/>
  <c r="G24" i="4" s="1"/>
  <c r="D24" i="4"/>
  <c r="G23" i="4"/>
  <c r="F23" i="4"/>
  <c r="H23" i="4" s="1"/>
  <c r="E23" i="4"/>
  <c r="D23" i="4"/>
  <c r="F22" i="4"/>
  <c r="H22" i="4" s="1"/>
  <c r="E22" i="4"/>
  <c r="G22" i="4" s="1"/>
  <c r="D22" i="4"/>
  <c r="D30" i="4" s="1"/>
  <c r="D11" i="6" s="1"/>
  <c r="C45" i="3"/>
  <c r="C36" i="3"/>
  <c r="C31" i="3"/>
  <c r="F30" i="3"/>
  <c r="H30" i="3" s="1"/>
  <c r="E30" i="3"/>
  <c r="G30" i="3" s="1"/>
  <c r="D30" i="3"/>
  <c r="F29" i="3"/>
  <c r="H29" i="3" s="1"/>
  <c r="E29" i="3"/>
  <c r="G29" i="3" s="1"/>
  <c r="D29" i="3"/>
  <c r="F28" i="3"/>
  <c r="H28" i="3" s="1"/>
  <c r="E28" i="3"/>
  <c r="G28" i="3" s="1"/>
  <c r="D28" i="3"/>
  <c r="F27" i="3"/>
  <c r="H27" i="3" s="1"/>
  <c r="E27" i="3"/>
  <c r="G27" i="3" s="1"/>
  <c r="D27" i="3"/>
  <c r="H26" i="3"/>
  <c r="F26" i="3"/>
  <c r="E26" i="3"/>
  <c r="G26" i="3" s="1"/>
  <c r="D26" i="3"/>
  <c r="H25" i="3"/>
  <c r="F25" i="3"/>
  <c r="E25" i="3"/>
  <c r="G25" i="3" s="1"/>
  <c r="D25" i="3"/>
  <c r="H24" i="3"/>
  <c r="G24" i="3"/>
  <c r="F24" i="3"/>
  <c r="E24" i="3"/>
  <c r="D24" i="3"/>
  <c r="G23" i="3"/>
  <c r="F23" i="3"/>
  <c r="H23" i="3" s="1"/>
  <c r="E23" i="3"/>
  <c r="D23" i="3"/>
  <c r="F22" i="3"/>
  <c r="H22" i="3" s="1"/>
  <c r="H31" i="3" s="1"/>
  <c r="E22" i="3"/>
  <c r="G22" i="3" s="1"/>
  <c r="G31" i="3" s="1"/>
  <c r="D22" i="3"/>
  <c r="E34" i="2"/>
  <c r="E33" i="2"/>
  <c r="E32" i="2"/>
  <c r="E31" i="2"/>
  <c r="E30" i="2"/>
  <c r="E29" i="2"/>
  <c r="E28" i="2"/>
  <c r="E27" i="2"/>
  <c r="E26" i="2"/>
  <c r="E25" i="2"/>
  <c r="E24" i="2"/>
  <c r="E23" i="2"/>
  <c r="D12" i="2"/>
  <c r="D10" i="2"/>
  <c r="C10" i="2"/>
  <c r="C12" i="2" s="1"/>
  <c r="H30" i="4" l="1"/>
  <c r="C15" i="6"/>
  <c r="C14" i="6"/>
  <c r="H54" i="3"/>
  <c r="H48" i="3"/>
  <c r="C40" i="3"/>
  <c r="H49" i="3"/>
  <c r="C34" i="3"/>
  <c r="H50" i="3"/>
  <c r="F31" i="6"/>
  <c r="H51" i="3"/>
  <c r="H45" i="3"/>
  <c r="C31" i="6"/>
  <c r="H53" i="3"/>
  <c r="H46" i="3"/>
  <c r="C12" i="6"/>
  <c r="E31" i="6"/>
  <c r="H47" i="3"/>
  <c r="C39" i="3"/>
  <c r="H52" i="3"/>
  <c r="C37" i="3"/>
  <c r="C35" i="3"/>
  <c r="D31" i="6"/>
  <c r="C13" i="6"/>
  <c r="D33" i="6"/>
  <c r="E13" i="6"/>
  <c r="C34" i="5"/>
  <c r="G30" i="4"/>
  <c r="G30" i="5"/>
  <c r="E45" i="3"/>
  <c r="D45" i="3"/>
  <c r="D31" i="3"/>
  <c r="C11" i="6" s="1"/>
  <c r="D44" i="4"/>
  <c r="E44" i="4" s="1"/>
  <c r="G44" i="4" l="1"/>
  <c r="F44" i="4"/>
  <c r="D51" i="3"/>
  <c r="E51" i="3" s="1"/>
  <c r="F33" i="6"/>
  <c r="E14" i="6"/>
  <c r="H53" i="5"/>
  <c r="H51" i="5"/>
  <c r="H49" i="5"/>
  <c r="H47" i="5"/>
  <c r="H45" i="5"/>
  <c r="C39" i="5"/>
  <c r="C38" i="5"/>
  <c r="C36" i="5"/>
  <c r="E33" i="6"/>
  <c r="C33" i="6"/>
  <c r="H52" i="5"/>
  <c r="E12" i="6"/>
  <c r="H50" i="5"/>
  <c r="H44" i="5"/>
  <c r="E15" i="6"/>
  <c r="H46" i="5"/>
  <c r="D44" i="5"/>
  <c r="E44" i="5" s="1"/>
  <c r="H48" i="5"/>
  <c r="C33" i="5"/>
  <c r="D49" i="3"/>
  <c r="E49" i="3" s="1"/>
  <c r="D14" i="6"/>
  <c r="H53" i="4"/>
  <c r="H51" i="4"/>
  <c r="H49" i="4"/>
  <c r="H47" i="4"/>
  <c r="H45" i="4"/>
  <c r="C39" i="4"/>
  <c r="F32" i="6"/>
  <c r="E32" i="6"/>
  <c r="C33" i="4"/>
  <c r="C32" i="6"/>
  <c r="D15" i="6"/>
  <c r="H52" i="4"/>
  <c r="H48" i="4"/>
  <c r="H50" i="4"/>
  <c r="H44" i="4"/>
  <c r="C38" i="4"/>
  <c r="D12" i="6"/>
  <c r="H46" i="4"/>
  <c r="C36" i="4"/>
  <c r="D48" i="3"/>
  <c r="E48" i="3" s="1"/>
  <c r="D46" i="3"/>
  <c r="E46" i="3" s="1"/>
  <c r="G45" i="3"/>
  <c r="F45" i="3"/>
  <c r="D47" i="3"/>
  <c r="E47" i="3" s="1"/>
  <c r="D54" i="3"/>
  <c r="E54" i="3" s="1"/>
  <c r="D52" i="3"/>
  <c r="E52" i="3"/>
  <c r="D53" i="3" s="1"/>
  <c r="E53" i="3" s="1"/>
  <c r="D32" i="6"/>
  <c r="C34" i="4"/>
  <c r="D13" i="6"/>
  <c r="D50" i="3" l="1"/>
  <c r="E50" i="3" s="1"/>
  <c r="G47" i="3"/>
  <c r="F47" i="3"/>
  <c r="G49" i="3"/>
  <c r="F49" i="3"/>
  <c r="G53" i="3"/>
  <c r="F53" i="3"/>
  <c r="G51" i="3"/>
  <c r="F51" i="3"/>
  <c r="G46" i="3"/>
  <c r="F46" i="3"/>
  <c r="G48" i="3"/>
  <c r="F48" i="3"/>
  <c r="G54" i="3"/>
  <c r="F54" i="3"/>
  <c r="D45" i="4"/>
  <c r="E45" i="4" s="1"/>
  <c r="D51" i="4"/>
  <c r="E51" i="4" s="1"/>
  <c r="D53" i="4"/>
  <c r="E53" i="4" s="1"/>
  <c r="D45" i="5"/>
  <c r="E45" i="5"/>
  <c r="D50" i="4"/>
  <c r="E50" i="4" s="1"/>
  <c r="D52" i="4"/>
  <c r="E52" i="4" s="1"/>
  <c r="D53" i="5"/>
  <c r="E53" i="5" s="1"/>
  <c r="D46" i="5"/>
  <c r="E46" i="5" s="1"/>
  <c r="D48" i="4"/>
  <c r="E48" i="4" s="1"/>
  <c r="D51" i="5"/>
  <c r="E51" i="5" s="1"/>
  <c r="D49" i="4"/>
  <c r="E49" i="4" s="1"/>
  <c r="F44" i="5"/>
  <c r="G44" i="5"/>
  <c r="D47" i="4"/>
  <c r="E47" i="4" s="1"/>
  <c r="D47" i="5"/>
  <c r="E47" i="5"/>
  <c r="D48" i="5"/>
  <c r="E48" i="5" s="1"/>
  <c r="D52" i="5"/>
  <c r="E52" i="5" s="1"/>
  <c r="D49" i="5"/>
  <c r="E49" i="5" s="1"/>
  <c r="G52" i="3"/>
  <c r="F52" i="3"/>
  <c r="D46" i="4"/>
  <c r="E46" i="4" s="1"/>
  <c r="D50" i="5"/>
  <c r="E50" i="5" s="1"/>
  <c r="G50" i="3" l="1"/>
  <c r="F50" i="3"/>
  <c r="G50" i="4"/>
  <c r="F50" i="4"/>
  <c r="G46" i="4"/>
  <c r="F46" i="4"/>
  <c r="G46" i="5"/>
  <c r="F46" i="5"/>
  <c r="G52" i="5"/>
  <c r="F52" i="5"/>
  <c r="G48" i="5"/>
  <c r="F48" i="5"/>
  <c r="G47" i="4"/>
  <c r="F47" i="4"/>
  <c r="G53" i="4"/>
  <c r="F53" i="4"/>
  <c r="F50" i="5"/>
  <c r="G50" i="5"/>
  <c r="F49" i="4"/>
  <c r="G49" i="4"/>
  <c r="G51" i="5"/>
  <c r="F51" i="5"/>
  <c r="F48" i="4"/>
  <c r="G48" i="4"/>
  <c r="G49" i="5"/>
  <c r="F49" i="5"/>
  <c r="G53" i="5"/>
  <c r="F53" i="5"/>
  <c r="G52" i="4"/>
  <c r="F52" i="4"/>
  <c r="G45" i="5"/>
  <c r="F45" i="5"/>
  <c r="F45" i="4"/>
  <c r="G45" i="4"/>
  <c r="G47" i="5"/>
  <c r="F47" i="5"/>
  <c r="F51" i="4"/>
  <c r="G51" i="4"/>
</calcChain>
</file>

<file path=xl/sharedStrings.xml><?xml version="1.0" encoding="utf-8"?>
<sst xmlns="http://schemas.openxmlformats.org/spreadsheetml/2006/main" count="389" uniqueCount="273">
  <si>
    <t>HNI WEALTH ADVISORY — ASSET ALLOCATION MODEL</t>
  </si>
  <si>
    <t>ICICI Wealth Management  |  Three-Persona Portfolio Advisory Project</t>
  </si>
  <si>
    <t>Document Type</t>
  </si>
  <si>
    <t>Asset Allocation &amp; Portfolio Construction Model</t>
  </si>
  <si>
    <t>Regulatory Basis</t>
  </si>
  <si>
    <t>SEBI IA Regulations 2013 | PMLA 2002</t>
  </si>
  <si>
    <t>Risk Framework</t>
  </si>
  <si>
    <t>Normalised 12-Q Score | Classification: 5 bands</t>
  </si>
  <si>
    <t>Personas</t>
  </si>
  <si>
    <t>Arjun Mehta · Suresh Rajan · Priya Kapoor</t>
  </si>
  <si>
    <t>Asset Classes</t>
  </si>
  <si>
    <t>Equity MF · Debt MF · PMS · AIF · REIT · Gold/SGB · Intl Fund</t>
  </si>
  <si>
    <t>Metrics</t>
  </si>
  <si>
    <t>Expected Return · Std Dev · Sharpe Ratio · 10-Yr CAGR Projection</t>
  </si>
  <si>
    <t>WORKBOOK STRUCTURE</t>
  </si>
  <si>
    <t>1</t>
  </si>
  <si>
    <t>Assumptions</t>
  </si>
  <si>
    <t>Risk-free rate, market return assumptions, asset class parameters</t>
  </si>
  <si>
    <t>2</t>
  </si>
  <si>
    <t>Arjun Mehta</t>
  </si>
  <si>
    <t>Moderately Aggressive — ₹2.5 Cr AUM — Allocation + metrics + projection</t>
  </si>
  <si>
    <t>3</t>
  </si>
  <si>
    <t>Suresh Rajan</t>
  </si>
  <si>
    <t>Conservative — ₹6 Cr AUM — Allocation + metrics + projection</t>
  </si>
  <si>
    <t>4</t>
  </si>
  <si>
    <t>Priya Kapoor</t>
  </si>
  <si>
    <t>Moderate — ₹4 Cr AUM — Multi-bucket + NRI tax overlay + projection</t>
  </si>
  <si>
    <t>5</t>
  </si>
  <si>
    <t>Comparison</t>
  </si>
  <si>
    <t>Side-by-side portfolio comparison + Sharpe analysis + key insight</t>
  </si>
  <si>
    <t>COLOUR CODING LEGEND</t>
  </si>
  <si>
    <t>Blue text</t>
  </si>
  <si>
    <t>Hardcoded input assumptions — change these for scenarios</t>
  </si>
  <si>
    <t>Black text</t>
  </si>
  <si>
    <t>Formula-calculated values — do not override</t>
  </si>
  <si>
    <t>Green text</t>
  </si>
  <si>
    <t>Links from other sheets within this workbook</t>
  </si>
  <si>
    <t>Yellow bg</t>
  </si>
  <si>
    <t>Key assumption cells requiring attention / review</t>
  </si>
  <si>
    <t>GLOBAL ASSUMPTIONS &amp; ASSET CLASS PARAMETERS</t>
  </si>
  <si>
    <t>SECTION 1 — MACRO ASSUMPTIONS (India, FY2025 Estimates)</t>
  </si>
  <si>
    <t>Parameter</t>
  </si>
  <si>
    <t>Value</t>
  </si>
  <si>
    <t>Source / Notes</t>
  </si>
  <si>
    <t>Risk-Free Rate (10-yr G-Sec yield)</t>
  </si>
  <si>
    <t>RBI / CCIL — 10Y G-Sec avg FY2025</t>
  </si>
  <si>
    <t>Expected Nifty 50 Return (long-run CAGR)</t>
  </si>
  <si>
    <t>Historical 15-yr Nifty CAGR ~13%</t>
  </si>
  <si>
    <t>Equity Risk Premium (ERP)</t>
  </si>
  <si>
    <t>Expected Inflation (CPI)</t>
  </si>
  <si>
    <t>RBI MPC target band mid-point</t>
  </si>
  <si>
    <t>Real Risk-Free Rate</t>
  </si>
  <si>
    <t>Nifty 50 Historical Std Dev (annual)</t>
  </si>
  <si>
    <t>Bloomberg / NSE 15-yr rolling</t>
  </si>
  <si>
    <t>USD/INR rate assumption</t>
  </si>
  <si>
    <t>As of June 2025</t>
  </si>
  <si>
    <t>Income Tax Slab (HNI — old regime)</t>
  </si>
  <si>
    <t>30%</t>
  </si>
  <si>
    <t>Surcharge applicable above ₹50L</t>
  </si>
  <si>
    <t>LTCG tax — Equity MF (gains &gt; ₹1.25L)</t>
  </si>
  <si>
    <t>12.5%</t>
  </si>
  <si>
    <t>Finance Act 2024 amendment</t>
  </si>
  <si>
    <t>STCG tax — Equity MF</t>
  </si>
  <si>
    <t>20%</t>
  </si>
  <si>
    <t>Debt MF tax (all horizons post Apr 2023)</t>
  </si>
  <si>
    <t>Slab</t>
  </si>
  <si>
    <t>Indexed benefit removed</t>
  </si>
  <si>
    <t>SECTION 2 — ASSET CLASS EXPECTED RETURNS &amp; RISK PARAMETERS</t>
  </si>
  <si>
    <t>Asset Class</t>
  </si>
  <si>
    <t>Expected Return (p.a.)</t>
  </si>
  <si>
    <t>Std Dev (annual)</t>
  </si>
  <si>
    <t>Sharpe Ratio*</t>
  </si>
  <si>
    <t>Min Ticket</t>
  </si>
  <si>
    <t>Liquidity</t>
  </si>
  <si>
    <t>Tax Treatment</t>
  </si>
  <si>
    <t>Large Cap Equity MF</t>
  </si>
  <si>
    <t>₹500 SIP</t>
  </si>
  <si>
    <t>T+3 redemption</t>
  </si>
  <si>
    <t>LTCG 12.5% / STCG 20%</t>
  </si>
  <si>
    <t>Mid Cap Equity MF</t>
  </si>
  <si>
    <t>Flexi Cap Equity MF</t>
  </si>
  <si>
    <t>Portfolio Mgmt Services (PMS)</t>
  </si>
  <si>
    <t>₹50L lumpsum</t>
  </si>
  <si>
    <t>30-90 day exit</t>
  </si>
  <si>
    <t>Individual stock tax rates</t>
  </si>
  <si>
    <t>AIF — Category II</t>
  </si>
  <si>
    <t>₹1 Cr</t>
  </si>
  <si>
    <t>3-5 yr lock-in</t>
  </si>
  <si>
    <t>Pass-through — slab rate</t>
  </si>
  <si>
    <t>Debt MF — Short Duration</t>
  </si>
  <si>
    <t>₹5,000</t>
  </si>
  <si>
    <t>T+1 redemption</t>
  </si>
  <si>
    <t>Slab rate (all horizons)</t>
  </si>
  <si>
    <t>Debt MF — Corporate Bond</t>
  </si>
  <si>
    <t>G-Sec / Govt Bond</t>
  </si>
  <si>
    <t>₹10,000</t>
  </si>
  <si>
    <t>Exchange traded</t>
  </si>
  <si>
    <t>Slab rate</t>
  </si>
  <si>
    <t>REIT (Embassy / Mindspace)</t>
  </si>
  <si>
    <t>~1 unit ₹300</t>
  </si>
  <si>
    <t>Dividend at slab; LTCG 10%</t>
  </si>
  <si>
    <t>Sovereign Gold Bond (SGB)</t>
  </si>
  <si>
    <t>1 gm</t>
  </si>
  <si>
    <t>8-yr; exchange exit</t>
  </si>
  <si>
    <t>0% LTCG if held to maturity</t>
  </si>
  <si>
    <t>International Fund (FoF)</t>
  </si>
  <si>
    <t>Debt MF tax treatment</t>
  </si>
  <si>
    <t>Liquid MF / Cash Equiv</t>
  </si>
  <si>
    <t>₹1,000</t>
  </si>
  <si>
    <t>* Sharpe Ratio = (Expected Return – Risk-Free Rate) / Std Dev  |  Risk-free rate sourced from Assumptions!C8</t>
  </si>
  <si>
    <t>SECTION 3 — SIMPLIFIED CORRELATION MATRIX (Equity, Debt, Gold, REIT, Intl)</t>
  </si>
  <si>
    <t>Large Cap Eq</t>
  </si>
  <si>
    <t>Mid Cap Eq</t>
  </si>
  <si>
    <t>Debt MF</t>
  </si>
  <si>
    <t>Gold/SGB</t>
  </si>
  <si>
    <t>REIT</t>
  </si>
  <si>
    <t>Intl Fund</t>
  </si>
  <si>
    <t>ARJUN MEHTA — Moderately Aggressive | ₹2.5 Cr AUM</t>
  </si>
  <si>
    <t>Moderately Aggressive  |  Risk Score: 68/100  |  AUM: ₹2.5 Cr (₹250 Lakhs)  |  Horizon: 12–15 years</t>
  </si>
  <si>
    <t>CLIENT SNAPSHOT</t>
  </si>
  <si>
    <t>Age</t>
  </si>
  <si>
    <t>38 years</t>
  </si>
  <si>
    <t>Occupation</t>
  </si>
  <si>
    <t>Senior Product Manager, TechCorp India (MNC)</t>
  </si>
  <si>
    <t>Annual Income</t>
  </si>
  <si>
    <t>₹42 L p.a. (₹2.3 L/month in-hand)</t>
  </si>
  <si>
    <t>Monthly Surplus</t>
  </si>
  <si>
    <t>₹1.45 L/month</t>
  </si>
  <si>
    <t>Total AUM</t>
  </si>
  <si>
    <t>₹2.5 Cr (₹250 Lakhs)</t>
  </si>
  <si>
    <t>Risk Score</t>
  </si>
  <si>
    <t>68/100</t>
  </si>
  <si>
    <t>Risk Category</t>
  </si>
  <si>
    <t>Moderately Aggressive</t>
  </si>
  <si>
    <t>Primary Goal</t>
  </si>
  <si>
    <t>Early retirement at 50 + Children's education</t>
  </si>
  <si>
    <t>Investment Horizon</t>
  </si>
  <si>
    <t>12–15 years</t>
  </si>
  <si>
    <t>RECOMMENDED ASSET ALLOCATION</t>
  </si>
  <si>
    <t>Allocation %</t>
  </si>
  <si>
    <t>Amount (₹ Lakhs)</t>
  </si>
  <si>
    <t>Expected Return</t>
  </si>
  <si>
    <t>Std Dev</t>
  </si>
  <si>
    <t>Weighted Return</t>
  </si>
  <si>
    <t>Weighted Variance</t>
  </si>
  <si>
    <t>Notes</t>
  </si>
  <si>
    <t>Large Cap Equity MF (ICICI Pru Bluechip)</t>
  </si>
  <si>
    <t>Core equity — stability anchor</t>
  </si>
  <si>
    <t>Flexi Cap Equity MF (ICICI Pru Flexicap)</t>
  </si>
  <si>
    <t>Blend of large + mid cap exposure</t>
  </si>
  <si>
    <t>Growth kicker — 5-yr+ horizon</t>
  </si>
  <si>
    <t>PMS — ICICI Pru (Multicap Strategy)</t>
  </si>
  <si>
    <t>Alpha generation — concentrated bets</t>
  </si>
  <si>
    <t>AIF Category II (Private Equity / Debt Fund)</t>
  </si>
  <si>
    <t>Illiquid premium — 3-5 yr lock-in</t>
  </si>
  <si>
    <t>Debt MF — Corporate Bond Fund</t>
  </si>
  <si>
    <t>Stability + better post-tax than FD</t>
  </si>
  <si>
    <t>REIT (Embassy + Mindspace)</t>
  </si>
  <si>
    <t>Real estate exposure, liquid</t>
  </si>
  <si>
    <t>Inflation hedge, 0% LTCG at maturity</t>
  </si>
  <si>
    <t>International Fund (ICICI Pru US Bluechip FoF)</t>
  </si>
  <si>
    <t>USD hedge + global diversification</t>
  </si>
  <si>
    <t>TOTAL / PORTFOLIO</t>
  </si>
  <si>
    <t>PORTFOLIO METRICS</t>
  </si>
  <si>
    <t>Portfolio Expected Return (p.a.)</t>
  </si>
  <si>
    <t>Portfolio Std Dev (approx.)</t>
  </si>
  <si>
    <t>Risk-Free Rate</t>
  </si>
  <si>
    <t>Sharpe Ratio</t>
  </si>
  <si>
    <t>AUM (₹ Lakhs)</t>
  </si>
  <si>
    <t>10-Yr Projected Value (₹ Lakhs)</t>
  </si>
  <si>
    <t>Inflation-Adjusted 10-Yr Value</t>
  </si>
  <si>
    <t>10-YEAR WEALTH PROJECTION (₹ Lakhs)</t>
  </si>
  <si>
    <t>Year</t>
  </si>
  <si>
    <t>Beginning Value</t>
  </si>
  <si>
    <t>Annual Return</t>
  </si>
  <si>
    <t>Year-End Value</t>
  </si>
  <si>
    <t>Cumulative Return</t>
  </si>
  <si>
    <t>Inflation-Adj Value</t>
  </si>
  <si>
    <t>Real Return (CAGR)</t>
  </si>
  <si>
    <t>PORTFOLIO GAPS &amp; RM ADVISORY FLAGS</t>
  </si>
  <si>
    <t xml:space="preserve">  1.  OVERCONCENTRATION IN EQUITY: Current portfolio has 72% in equity MF + direct stocks — must diversify into debt and alternatives immediately.</t>
  </si>
  <si>
    <t xml:space="preserve">  2.  ZERO ALTERNATIVE ALLOCATION: No AIF or PMS despite ₹2.5 Cr AUM. Recommended model adds 10% AIF + 15% PMS for alpha generation.</t>
  </si>
  <si>
    <t xml:space="preserve">  3.  UNDERINSURED: Employer group cover of ₹42L is grossly inadequate for ₹3.1 Cr net worth. Recommend personal term cover of ₹2 Cr.</t>
  </si>
  <si>
    <t xml:space="preserve">  4.  RECENCY BIAS ALERT: Tendency to add equity after bull runs. IPS must set hard 75% equity ceiling with auto-rebalancing trigger.</t>
  </si>
  <si>
    <t xml:space="preserve">  5.  INTERNATIONAL EXPOSURE: Zero overseas allocation. 3% in ICICI Pru US Bluechip provides USD hedge and global tech exposure.</t>
  </si>
  <si>
    <t xml:space="preserve">  6.  NO ESTATE PLAN: No will or nominee update. Flag for legal review in next client meeting.</t>
  </si>
  <si>
    <t>SURESH RAJAN — Conservative | ₹6 Cr AUM</t>
  </si>
  <si>
    <t>Conservative  |  Risk Score: 28/100  |  AUM: ₹6 Cr (₹600 Lakhs)  |  Horizon: 8 years (then drawdown phase)</t>
  </si>
  <si>
    <t>52 years</t>
  </si>
  <si>
    <t>General Manager — Operations, BHEL (PSU)</t>
  </si>
  <si>
    <t>₹28 L p.a. + ₹18K/month rental income</t>
  </si>
  <si>
    <t>₹1.05 L/month</t>
  </si>
  <si>
    <t>₹6 Cr (₹600 Lakhs)</t>
  </si>
  <si>
    <t>28/100</t>
  </si>
  <si>
    <t>Conservative</t>
  </si>
  <si>
    <t>Capital preservation + retirement income ₹1.5–2L/month</t>
  </si>
  <si>
    <t>8 years (then drawdown phase)</t>
  </si>
  <si>
    <t>Debt MF — Short Duration Fund</t>
  </si>
  <si>
    <t>Low-volatility income, better than FD post-tax</t>
  </si>
  <si>
    <t>G-Sec / Government Bond</t>
  </si>
  <si>
    <t>Sovereign safety + 7%+ yield</t>
  </si>
  <si>
    <t>Debt MF — Corporate Bond Fund (AAA)</t>
  </si>
  <si>
    <t>Slightly higher yield, high credit quality</t>
  </si>
  <si>
    <t>Inflation-beating growth allocation</t>
  </si>
  <si>
    <t>Hedge + 2.5% interest + 0% LTCG</t>
  </si>
  <si>
    <t>REIT (Embassy Office Parks)</t>
  </si>
  <si>
    <t>Stable rental income distribution</t>
  </si>
  <si>
    <t>Liquid MF (ICICI Pru Liquid Fund)</t>
  </si>
  <si>
    <t>₹30L accessible pool — emergency buffer</t>
  </si>
  <si>
    <t>Flexi Cap MF</t>
  </si>
  <si>
    <t>Small growth kicker within comfort zone</t>
  </si>
  <si>
    <t xml:space="preserve">  1.  FD OVER-RELIANCE: ₹1.1 Cr in FDs earning 6.5–7% gross. Post-TDS + inflation, real return is near zero. Replace with debt MF + G-Sec combination.</t>
  </si>
  <si>
    <t xml:space="preserve">  2.  LIC ENDOWMENT POLICIES: ₹18L surrender value generating 4–5% returns. Evaluate paid-up option or surrender and redeploy into debt MF.</t>
  </si>
  <si>
    <t xml:space="preserve">  3.  EQUITY UNDER-ALLOCATION: Even a Conservative profile needs 15–20% equity to beat inflation over 8 years. Current equity SIPs (₹30L) = 5% of corpus — too low.</t>
  </si>
  <si>
    <t xml:space="preserve">  4.  SWP NOT STRUCTURED: No Systematic Withdrawal Plan in place. Must set up SWP from debt MF for ₹1.5L/month post-retirement income from Day 1.</t>
  </si>
  <si>
    <t xml:space="preserve">  5.  ESTATE PLANNING GAP: ₹10.5 Cr net worth with two properties — no will or trust structure. Risk of legal disputes. Urgent referral to estate lawyer.</t>
  </si>
  <si>
    <t xml:space="preserve">  6.  POST-RETIREMENT HEALTH COVER: BHEL health cover ends at retirement. Must purchase ₹25–30L personal health cover before leaving PSU.</t>
  </si>
  <si>
    <t>PRIYA KAPOOR — Moderate | ₹4 Cr AUM</t>
  </si>
  <si>
    <t>Moderate  |  Risk Score: 54/100  |  AUM: ₹4 Cr deployable (₹400 Lakhs)  |  Horizon: Multi-bucket: 2 yrs (education) / 3 yrs (home) / 10 yrs (wealth)</t>
  </si>
  <si>
    <t>44 years</t>
  </si>
  <si>
    <t>Independent Business Consultant (Singapore fintech clients)</t>
  </si>
  <si>
    <t>₹72 L p.a. (mix INR + USD remittance)</t>
  </si>
  <si>
    <t>₹3.2 L/month</t>
  </si>
  <si>
    <t>₹4 Cr deployable (₹400 Lakhs)</t>
  </si>
  <si>
    <t>54/100</t>
  </si>
  <si>
    <t>Moderate</t>
  </si>
  <si>
    <t>Daughter's education (₹1.2 Cr in 2 yrs) + Mumbai home purchase</t>
  </si>
  <si>
    <t>Multi-bucket: 2 yrs (education) / 3 yrs (home) / 10 yrs (wealth)</t>
  </si>
  <si>
    <t>Liquid MF / Short Duration (Education Bucket)</t>
  </si>
  <si>
    <t>Bucket 1: ₹1.2 Cr ring-fenced for edu in 2 yrs</t>
  </si>
  <si>
    <t>Bucket 3: Core growth for 10-yr wealth goal</t>
  </si>
  <si>
    <t>Debt MF — Corporate Bond (Home Bucket)</t>
  </si>
  <si>
    <t>Bucket 2: ₹60L growing for home down-payment</t>
  </si>
  <si>
    <t>REIT (Embassy + Mindspace + Brookfield)</t>
  </si>
  <si>
    <t>RE exposure without capital lock-in — NRI preference</t>
  </si>
  <si>
    <t>Bucket 3: Stable equity anchor</t>
  </si>
  <si>
    <t>AIF Category II</t>
  </si>
  <si>
    <t>3-yr+ tranche — growth bucket alternative</t>
  </si>
  <si>
    <t>USD familiarity + global tech exposure</t>
  </si>
  <si>
    <t>Minimal hedge — low priority given short horizon</t>
  </si>
  <si>
    <t xml:space="preserve">  1.  EDUCATION GOAL UNDERFUNDED: ₹1.2 Cr needed in 24 months but only ₹32L in FD is liquid. Immediate deployment of ₹1.2 Cr into liquid/short-duration MF bucket is non-negotiable.</t>
  </si>
  <si>
    <t xml:space="preserve">  2.  NRI TAX TRANSITION: RNOR status expires FY2024-25. All offshore income from Singapore clients will be taxable in India from FY2025-26. Tax planning is urgent — consult CA immediately.</t>
  </si>
  <si>
    <t xml:space="preserve">  3.  SINGAPORE SAVINGS DEPLOYMENT: ₹1.8 Cr sitting in low-yield SGD savings. Repatriate ₹1.8 Cr via LRS ($250K/year) in two tranches. Year 1 → growth MF. Year 2 → AIF tranche.</t>
  </si>
  <si>
    <t xml:space="preserve">  4.  ANALYSIS PARALYSIS RISK: Pattern of over-researching before deploying capital. RM must set 90-day deployment milestones and co-sign a structured investment calendar.</t>
  </si>
  <si>
    <t xml:space="preserve">  5.  SINGLE PARENT PROTECTION GAP: No term insurance — daughter (16) is sole dependent. ₹2 Cr term cover is immediately required. This is a critical vulnerability.</t>
  </si>
  <si>
    <t xml:space="preserve">  6.  REIT OVER-INDEXING ON HOME: Emotional bias toward Mumbai real estate. REIT allocation at 12% provides real estate exposure while capital remains liquid for 3-yr horizon.</t>
  </si>
  <si>
    <t>COMPARATIVE PORTFOLIO ANALYSIS — THREE PERSONAS</t>
  </si>
  <si>
    <t>Side-by-side risk, return, and Sharpe analysis  |  Key project insight</t>
  </si>
  <si>
    <t>PORTFOLIO COMPARISON DASHBOARD</t>
  </si>
  <si>
    <t>Metric</t>
  </si>
  <si>
    <t>Risk Score (out of 100)</t>
  </si>
  <si>
    <t>68</t>
  </si>
  <si>
    <t>28</t>
  </si>
  <si>
    <t>54</t>
  </si>
  <si>
    <t>Mod. Aggressive</t>
  </si>
  <si>
    <t>Portfolio Expected Return</t>
  </si>
  <si>
    <t>Portfolio Std Dev</t>
  </si>
  <si>
    <t>10-Yr Projected Value (₹ L)</t>
  </si>
  <si>
    <t>Equity Allocation</t>
  </si>
  <si>
    <t>Debt Allocation</t>
  </si>
  <si>
    <t>Alternatives (AIF+REIT+Gold)</t>
  </si>
  <si>
    <t>KEY PROJECT INSIGHT — THE AIF UNDER-ALLOCATION THESIS</t>
  </si>
  <si>
    <t>Across all three HNI personas — spanning Conservative to Moderately Aggressive profiles — Alternative Investments (AIF Category II) represent the single most under-allocated asset class relative to risk capacity. All three clients qualify (AUM &gt; ₹1 Cr minimum), yet typical HNI portfolios in India hold near-zero AIF allocation. A 7–10% AIF tilt improves the portfolio Sharpe Ratio by approximately 0.15–0.20 for Moderately Aggressive profiles, driven by the illiquidity premium and low correlation with listed equity. The primary barrier is not risk capacity — it is liquidity bias and product familiarity. This is the advisory opportunity.</t>
  </si>
  <si>
    <t>NAIVE 60/40 vs RECOMMENDED PORTFOLIOS — SHARPE IMPROVEMENT</t>
  </si>
  <si>
    <t>Portfolio</t>
  </si>
  <si>
    <t>vs Naive Benchmark</t>
  </si>
  <si>
    <t>Naive 60/40 (60% Eq, 40% Debt)</t>
  </si>
  <si>
    <t>Benchmark</t>
  </si>
  <si>
    <t>Arjun Mehta (Mod. Aggressive)</t>
  </si>
  <si>
    <t>Suresh Rajan (Conservative)</t>
  </si>
  <si>
    <t>Priya Kapoor (Moderate)</t>
  </si>
  <si>
    <t>DISCLAIMER: This model is a simulated advisory project for academic and portfolio purposes. All assumptions, personas, and data are fictional. Not actual financial advice. SEBI IA Regulations 2013 apply in live advisory contexts.</t>
  </si>
  <si>
    <t>Prepared by: Subash R  |  BIM Trichy  |  June 202  |  Version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</si>
</sst>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
  </numFmts>
  <fonts count="24" x14ac:knownFonts="1">
    <font>
      <sz val="11"/>
      <color theme="1"/>
      <name val="Calibri"/>
      <family val="2"/>
      <scheme val="minor"/>
    </font>
    <font>
      <b/>
      <sz val="22"/>
      <color rgb="FFFFFFFF"/>
      <name val="Arial"/>
      <family val="2"/>
    </font>
    <font>
      <i/>
      <sz val="13"/>
      <color rgb="FFFAD97D"/>
      <name val="Arial"/>
      <family val="2"/>
    </font>
    <font>
      <sz val="11"/>
      <color rgb="FFAABBCC"/>
      <name val="Arial"/>
      <family val="2"/>
    </font>
    <font>
      <b/>
      <sz val="10"/>
      <color rgb="FFFFFFFF"/>
      <name val="Arial"/>
      <family val="2"/>
    </font>
    <font>
      <sz val="10"/>
      <color rgb="FF000000"/>
      <name val="Arial"/>
      <family val="2"/>
    </font>
    <font>
      <b/>
      <sz val="11"/>
      <color rgb="FFFFFFFF"/>
      <name val="Arial"/>
      <family val="2"/>
    </font>
    <font>
      <b/>
      <sz val="10"/>
      <color rgb="FF000000"/>
      <name val="Arial"/>
      <family val="2"/>
    </font>
    <font>
      <i/>
      <sz val="10"/>
      <color rgb="FF000000"/>
      <name val="Arial"/>
      <family val="2"/>
    </font>
    <font>
      <b/>
      <sz val="10"/>
      <color rgb="FF0000FF"/>
      <name val="Arial"/>
      <family val="2"/>
    </font>
    <font>
      <b/>
      <sz val="10"/>
      <color rgb="FF008000"/>
      <name val="Arial"/>
      <family val="2"/>
    </font>
    <font>
      <b/>
      <sz val="10"/>
      <color rgb="FFFFFF00"/>
      <name val="Arial"/>
      <family val="2"/>
    </font>
    <font>
      <b/>
      <sz val="14"/>
      <color rgb="FFFFFFFF"/>
      <name val="Arial"/>
      <family val="2"/>
    </font>
    <font>
      <b/>
      <sz val="9"/>
      <color rgb="FFFFFFFF"/>
      <name val="Arial"/>
      <family val="2"/>
    </font>
    <font>
      <sz val="10"/>
      <color rgb="FF0000FF"/>
      <name val="Arial"/>
      <family val="2"/>
    </font>
    <font>
      <i/>
      <sz val="9"/>
      <color rgb="FF445566"/>
      <name val="Arial"/>
      <family val="2"/>
    </font>
    <font>
      <sz val="10"/>
      <color rgb="FF8B1A1A"/>
      <name val="Arial"/>
      <family val="2"/>
    </font>
    <font>
      <sz val="10"/>
      <color rgb="FF1A6B5A"/>
      <name val="Arial"/>
      <family val="2"/>
    </font>
    <font>
      <b/>
      <sz val="16"/>
      <color rgb="FFFFFFFF"/>
      <name val="Arial"/>
      <family val="2"/>
    </font>
    <font>
      <i/>
      <sz val="11"/>
      <color rgb="FFFAD97D"/>
      <name val="Arial"/>
      <family val="2"/>
    </font>
    <font>
      <sz val="10"/>
      <color rgb="FF008000"/>
      <name val="Arial"/>
      <family val="2"/>
    </font>
    <font>
      <b/>
      <sz val="15"/>
      <color rgb="FFFFFFFF"/>
      <name val="Arial"/>
      <family val="2"/>
    </font>
    <font>
      <b/>
      <sz val="11"/>
      <color rgb="FF000000"/>
      <name val="Arial"/>
      <family val="2"/>
    </font>
    <font>
      <i/>
      <sz val="11"/>
      <color rgb="FF000000"/>
      <name val="Arial"/>
      <family val="2"/>
    </font>
  </fonts>
  <fills count="19">
    <fill>
      <patternFill patternType="none"/>
    </fill>
    <fill>
      <patternFill patternType="gray125"/>
    </fill>
    <fill>
      <patternFill patternType="solid">
        <fgColor rgb="FFFFFFFF"/>
      </patternFill>
    </fill>
    <fill>
      <patternFill patternType="solid">
        <fgColor rgb="FF1B3A6B"/>
      </patternFill>
    </fill>
    <fill>
      <patternFill patternType="solid">
        <fgColor rgb="FFC8962E"/>
      </patternFill>
    </fill>
    <fill>
      <patternFill patternType="solid">
        <fgColor rgb="FF445566"/>
      </patternFill>
    </fill>
    <fill>
      <patternFill patternType="solid">
        <fgColor rgb="FFEEF2F7"/>
      </patternFill>
    </fill>
    <fill>
      <patternFill patternType="solid">
        <fgColor rgb="FF2E5FAC"/>
      </patternFill>
    </fill>
    <fill>
      <patternFill patternType="solid">
        <fgColor rgb="FFFFF3DC"/>
      </patternFill>
    </fill>
    <fill>
      <patternFill patternType="solid">
        <fgColor rgb="FFF8F9FC"/>
      </patternFill>
    </fill>
    <fill>
      <patternFill patternType="solid">
        <fgColor rgb="FFF2F4F7"/>
      </patternFill>
    </fill>
    <fill>
      <patternFill patternType="solid">
        <fgColor rgb="FFFFD0D0"/>
      </patternFill>
    </fill>
    <fill>
      <patternFill patternType="solid">
        <fgColor rgb="FFD0F0D0"/>
      </patternFill>
    </fill>
    <fill>
      <patternFill patternType="solid">
        <fgColor rgb="FFFFFEE0"/>
      </patternFill>
    </fill>
    <fill>
      <patternFill patternType="solid">
        <fgColor rgb="FF8B1A1A"/>
      </patternFill>
    </fill>
    <fill>
      <patternFill patternType="solid">
        <fgColor rgb="FFF9DEDE"/>
      </patternFill>
    </fill>
    <fill>
      <patternFill patternType="solid">
        <fgColor rgb="FF1A6B5A"/>
      </patternFill>
    </fill>
    <fill>
      <patternFill patternType="solid">
        <fgColor rgb="FFD4EDE8"/>
      </patternFill>
    </fill>
    <fill>
      <patternFill patternType="solid">
        <fgColor rgb="FFFFF3D4"/>
      </patternFill>
    </fill>
  </fills>
  <borders count="7">
    <border>
      <left/>
      <right/>
      <top/>
      <bottom/>
      <diagonal/>
    </border>
    <border>
      <left style="thin">
        <color rgb="FF445566"/>
      </left>
      <right style="thin">
        <color rgb="FF445566"/>
      </right>
      <top style="thin">
        <color rgb="FF445566"/>
      </top>
      <bottom style="thin">
        <color rgb="FF445566"/>
      </bottom>
      <diagonal/>
    </border>
    <border>
      <left style="thin">
        <color rgb="FFCCCCCC"/>
      </left>
      <right style="thin">
        <color rgb="FFCCCCCC"/>
      </right>
      <top style="thin">
        <color rgb="FFCCCCCC"/>
      </top>
      <bottom style="thin">
        <color rgb="FFCCCCCC"/>
      </bottom>
      <diagonal/>
    </border>
    <border>
      <left style="thin">
        <color rgb="FFC8962E"/>
      </left>
      <right style="thin">
        <color rgb="FFC8962E"/>
      </right>
      <top style="thin">
        <color rgb="FFC8962E"/>
      </top>
      <bottom style="thin">
        <color rgb="FFC8962E"/>
      </bottom>
      <diagonal/>
    </border>
    <border>
      <left style="medium">
        <color rgb="FF1B3A6B"/>
      </left>
      <right style="medium">
        <color rgb="FF1B3A6B"/>
      </right>
      <top style="medium">
        <color rgb="FF1B3A6B"/>
      </top>
      <bottom style="medium">
        <color rgb="FF1B3A6B"/>
      </bottom>
      <diagonal/>
    </border>
    <border>
      <left/>
      <right/>
      <top style="medium">
        <color rgb="FF1B3A6B"/>
      </top>
      <bottom style="medium">
        <color rgb="FF1B3A6B"/>
      </bottom>
      <diagonal/>
    </border>
    <border>
      <left style="medium">
        <color rgb="FFC8962E"/>
      </left>
      <right style="medium">
        <color rgb="FFC8962E"/>
      </right>
      <top style="medium">
        <color rgb="FFC8962E"/>
      </top>
      <bottom style="medium">
        <color rgb="FFC8962E"/>
      </bottom>
      <diagonal/>
    </border>
  </borders>
  <cellStyleXfs count="1">
    <xf numFmtId="0" fontId="0" fillId="0" borderId="0"/>
  </cellStyleXfs>
  <cellXfs count="110">
    <xf numFmtId="0" fontId="0" fillId="0" borderId="0" xfId="0"/>
    <xf numFmtId="0" fontId="0" fillId="2" borderId="0" xfId="0" applyFill="1"/>
    <xf numFmtId="0" fontId="0" fillId="3" borderId="0" xfId="0" applyFill="1"/>
    <xf numFmtId="0" fontId="0" fillId="4" borderId="0" xfId="0" applyFill="1"/>
    <xf numFmtId="0" fontId="4" fillId="4" borderId="3" xfId="0" applyFont="1" applyFill="1" applyBorder="1" applyAlignment="1">
      <alignment horizontal="center" vertical="center"/>
    </xf>
    <xf numFmtId="0" fontId="7" fillId="8" borderId="2" xfId="0" applyFont="1" applyFill="1" applyBorder="1" applyAlignment="1">
      <alignment horizontal="left" vertical="center"/>
    </xf>
    <xf numFmtId="0" fontId="9" fillId="6" borderId="2" xfId="0" applyFont="1" applyFill="1" applyBorder="1" applyAlignment="1">
      <alignment horizontal="left" vertical="center"/>
    </xf>
    <xf numFmtId="0" fontId="7" fillId="6" borderId="2" xfId="0" applyFont="1" applyFill="1" applyBorder="1" applyAlignment="1">
      <alignment horizontal="left" vertical="center"/>
    </xf>
    <xf numFmtId="0" fontId="10" fillId="6" borderId="2" xfId="0" applyFont="1" applyFill="1" applyBorder="1" applyAlignment="1">
      <alignment horizontal="left" vertical="center"/>
    </xf>
    <xf numFmtId="0" fontId="11" fillId="6" borderId="2" xfId="0" applyFont="1" applyFill="1" applyBorder="1" applyAlignment="1">
      <alignment horizontal="left" vertical="center"/>
    </xf>
    <xf numFmtId="0" fontId="13" fillId="5" borderId="1" xfId="0" applyFont="1" applyFill="1" applyBorder="1" applyAlignment="1">
      <alignment horizontal="left" vertical="center" wrapText="1"/>
    </xf>
    <xf numFmtId="0" fontId="5" fillId="10" borderId="2" xfId="0" applyFont="1" applyFill="1" applyBorder="1" applyAlignment="1">
      <alignment horizontal="left" vertical="center"/>
    </xf>
    <xf numFmtId="164" fontId="14" fillId="10" borderId="2" xfId="0" applyNumberFormat="1" applyFont="1" applyFill="1" applyBorder="1" applyAlignment="1">
      <alignment horizontal="center" vertical="center"/>
    </xf>
    <xf numFmtId="0" fontId="15" fillId="10" borderId="2" xfId="0" applyFont="1" applyFill="1" applyBorder="1" applyAlignment="1">
      <alignment horizontal="left" vertical="center" wrapText="1"/>
    </xf>
    <xf numFmtId="0" fontId="5" fillId="2" borderId="2" xfId="0" applyFont="1" applyFill="1" applyBorder="1" applyAlignment="1">
      <alignment horizontal="left" vertical="center"/>
    </xf>
    <xf numFmtId="164" fontId="14" fillId="2" borderId="2" xfId="0" applyNumberFormat="1" applyFont="1" applyFill="1" applyBorder="1" applyAlignment="1">
      <alignment horizontal="center" vertical="center"/>
    </xf>
    <xf numFmtId="0" fontId="15" fillId="2" borderId="2" xfId="0" applyFont="1" applyFill="1" applyBorder="1" applyAlignment="1">
      <alignment horizontal="left" vertical="center" wrapText="1"/>
    </xf>
    <xf numFmtId="164" fontId="0" fillId="10" borderId="2" xfId="0" applyNumberFormat="1" applyFill="1" applyBorder="1" applyAlignment="1">
      <alignment horizontal="center" vertical="center"/>
    </xf>
    <xf numFmtId="0" fontId="14" fillId="10" borderId="2" xfId="0" applyFont="1" applyFill="1" applyBorder="1" applyAlignment="1">
      <alignment horizontal="center" vertical="center"/>
    </xf>
    <xf numFmtId="0" fontId="14" fillId="2" borderId="2" xfId="0" applyFont="1" applyFill="1" applyBorder="1" applyAlignment="1">
      <alignment horizontal="center" vertical="center"/>
    </xf>
    <xf numFmtId="0" fontId="13" fillId="5" borderId="1" xfId="0" applyFont="1" applyFill="1" applyBorder="1" applyAlignment="1">
      <alignment horizontal="center" vertical="center" wrapText="1"/>
    </xf>
    <xf numFmtId="0" fontId="5" fillId="10" borderId="2" xfId="0" applyFont="1" applyFill="1" applyBorder="1" applyAlignment="1">
      <alignment horizontal="center" vertical="center" wrapText="1"/>
    </xf>
    <xf numFmtId="2" fontId="5" fillId="10" borderId="2" xfId="0" applyNumberFormat="1" applyFont="1" applyFill="1" applyBorder="1" applyAlignment="1">
      <alignment horizontal="center" vertical="center"/>
    </xf>
    <xf numFmtId="0" fontId="5" fillId="2" borderId="2" xfId="0" applyFont="1" applyFill="1" applyBorder="1" applyAlignment="1">
      <alignment horizontal="center" vertical="center" wrapText="1"/>
    </xf>
    <xf numFmtId="2" fontId="5" fillId="2" borderId="2" xfId="0" applyNumberFormat="1" applyFont="1" applyFill="1" applyBorder="1" applyAlignment="1">
      <alignment horizontal="center" vertical="center"/>
    </xf>
    <xf numFmtId="2" fontId="4" fillId="3" borderId="2" xfId="0" applyNumberFormat="1" applyFont="1" applyFill="1" applyBorder="1" applyAlignment="1">
      <alignment horizontal="center" vertical="center"/>
    </xf>
    <xf numFmtId="2" fontId="16" fillId="11" borderId="2" xfId="0" applyNumberFormat="1" applyFont="1" applyFill="1" applyBorder="1" applyAlignment="1">
      <alignment horizontal="center" vertical="center"/>
    </xf>
    <xf numFmtId="2" fontId="17" fillId="12" borderId="2" xfId="0" applyNumberFormat="1" applyFont="1" applyFill="1" applyBorder="1" applyAlignment="1">
      <alignment horizontal="center" vertical="center"/>
    </xf>
    <xf numFmtId="164" fontId="14" fillId="13" borderId="2"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164" fontId="20"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0" fontId="4" fillId="3" borderId="5" xfId="0" applyFont="1" applyFill="1" applyBorder="1" applyAlignment="1">
      <alignment horizontal="left" vertical="center"/>
    </xf>
    <xf numFmtId="164" fontId="4" fillId="3" borderId="5" xfId="0" applyNumberFormat="1" applyFont="1" applyFill="1" applyBorder="1" applyAlignment="1">
      <alignment horizontal="center" vertical="center"/>
    </xf>
    <xf numFmtId="165"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10" fontId="4" fillId="3" borderId="5" xfId="0" applyNumberFormat="1" applyFont="1" applyFill="1" applyBorder="1" applyAlignment="1">
      <alignment horizontal="center" vertical="center"/>
    </xf>
    <xf numFmtId="164" fontId="5" fillId="10" borderId="2" xfId="0" applyNumberFormat="1" applyFont="1" applyFill="1" applyBorder="1" applyAlignment="1">
      <alignment horizontal="center" vertical="center"/>
    </xf>
    <xf numFmtId="165" fontId="5" fillId="10"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5" fillId="10" borderId="2" xfId="0" applyFont="1" applyFill="1" applyBorder="1" applyAlignment="1">
      <alignment horizontal="center" vertical="center"/>
    </xf>
    <xf numFmtId="0" fontId="7" fillId="8" borderId="2" xfId="0" applyFont="1" applyFill="1" applyBorder="1" applyAlignment="1">
      <alignment horizontal="center" vertical="center"/>
    </xf>
    <xf numFmtId="165" fontId="7" fillId="8" borderId="2" xfId="0" applyNumberFormat="1" applyFont="1" applyFill="1" applyBorder="1" applyAlignment="1">
      <alignment horizontal="center" vertical="center"/>
    </xf>
    <xf numFmtId="164" fontId="7" fillId="8" borderId="2" xfId="0" applyNumberFormat="1" applyFont="1" applyFill="1" applyBorder="1" applyAlignment="1">
      <alignment horizontal="center" vertical="center"/>
    </xf>
    <xf numFmtId="0" fontId="0" fillId="16" borderId="0" xfId="0" applyFill="1"/>
    <xf numFmtId="0" fontId="4" fillId="16" borderId="5" xfId="0" applyFont="1" applyFill="1" applyBorder="1" applyAlignment="1">
      <alignment horizontal="left" vertical="center"/>
    </xf>
    <xf numFmtId="164" fontId="4" fillId="16" borderId="5" xfId="0" applyNumberFormat="1" applyFont="1" applyFill="1" applyBorder="1" applyAlignment="1">
      <alignment horizontal="center" vertical="center"/>
    </xf>
    <xf numFmtId="165" fontId="4" fillId="16" borderId="5" xfId="0" applyNumberFormat="1" applyFont="1" applyFill="1" applyBorder="1" applyAlignment="1">
      <alignment horizontal="center" vertical="center"/>
    </xf>
    <xf numFmtId="0" fontId="4" fillId="16" borderId="5" xfId="0" applyFont="1" applyFill="1" applyBorder="1" applyAlignment="1">
      <alignment horizontal="center" vertical="center"/>
    </xf>
    <xf numFmtId="10" fontId="4" fillId="16" borderId="5" xfId="0" applyNumberFormat="1" applyFont="1" applyFill="1" applyBorder="1" applyAlignment="1">
      <alignment horizontal="center" vertical="center"/>
    </xf>
    <xf numFmtId="0" fontId="0" fillId="7" borderId="0" xfId="0" applyFill="1"/>
    <xf numFmtId="0" fontId="4" fillId="7" borderId="5" xfId="0" applyFont="1" applyFill="1" applyBorder="1" applyAlignment="1">
      <alignment horizontal="left" vertical="center"/>
    </xf>
    <xf numFmtId="164" fontId="4" fillId="7" borderId="5" xfId="0" applyNumberFormat="1" applyFont="1" applyFill="1" applyBorder="1" applyAlignment="1">
      <alignment horizontal="center" vertical="center"/>
    </xf>
    <xf numFmtId="165" fontId="4" fillId="7" borderId="5" xfId="0" applyNumberFormat="1" applyFont="1" applyFill="1" applyBorder="1" applyAlignment="1">
      <alignment horizontal="center" vertical="center"/>
    </xf>
    <xf numFmtId="0" fontId="4" fillId="7" borderId="5" xfId="0" applyFont="1" applyFill="1" applyBorder="1" applyAlignment="1">
      <alignment horizontal="center" vertical="center"/>
    </xf>
    <xf numFmtId="10" fontId="4" fillId="7" borderId="5" xfId="0" applyNumberFormat="1" applyFont="1" applyFill="1" applyBorder="1" applyAlignment="1">
      <alignment horizontal="center" vertical="center"/>
    </xf>
    <xf numFmtId="165" fontId="20" fillId="10" borderId="2" xfId="0" applyNumberFormat="1" applyFont="1" applyFill="1" applyBorder="1" applyAlignment="1">
      <alignment horizontal="center" vertical="center"/>
    </xf>
    <xf numFmtId="164" fontId="20" fillId="10" borderId="2" xfId="0" applyNumberFormat="1" applyFont="1" applyFill="1" applyBorder="1" applyAlignment="1">
      <alignment horizontal="center" vertical="center"/>
    </xf>
    <xf numFmtId="0" fontId="22" fillId="8" borderId="2" xfId="0" applyFont="1" applyFill="1" applyBorder="1" applyAlignment="1">
      <alignment horizontal="left" vertical="center"/>
    </xf>
    <xf numFmtId="2" fontId="22" fillId="8" borderId="2" xfId="0" applyNumberFormat="1" applyFont="1" applyFill="1" applyBorder="1" applyAlignment="1">
      <alignment horizontal="center" vertical="center"/>
    </xf>
    <xf numFmtId="0" fontId="8" fillId="10" borderId="2" xfId="0" applyFont="1" applyFill="1" applyBorder="1" applyAlignment="1">
      <alignment horizontal="center" vertical="center"/>
    </xf>
    <xf numFmtId="164" fontId="20" fillId="8" borderId="2" xfId="0" applyNumberFormat="1" applyFont="1" applyFill="1" applyBorder="1" applyAlignment="1">
      <alignment horizontal="center" vertical="center"/>
    </xf>
    <xf numFmtId="2" fontId="20" fillId="8" borderId="2" xfId="0" applyNumberFormat="1" applyFont="1" applyFill="1" applyBorder="1" applyAlignment="1">
      <alignment horizontal="center" vertical="center"/>
    </xf>
    <xf numFmtId="166" fontId="20" fillId="8" borderId="2" xfId="0" applyNumberFormat="1" applyFont="1" applyFill="1" applyBorder="1" applyAlignment="1">
      <alignment horizontal="center" vertical="center"/>
    </xf>
    <xf numFmtId="0" fontId="7" fillId="17" borderId="2" xfId="0" applyFont="1" applyFill="1" applyBorder="1" applyAlignment="1">
      <alignment horizontal="left" vertical="center"/>
    </xf>
    <xf numFmtId="164" fontId="20" fillId="17" borderId="2" xfId="0" applyNumberFormat="1" applyFont="1" applyFill="1" applyBorder="1" applyAlignment="1">
      <alignment horizontal="center" vertical="center"/>
    </xf>
    <xf numFmtId="2" fontId="20" fillId="17" borderId="2" xfId="0" applyNumberFormat="1" applyFont="1" applyFill="1" applyBorder="1" applyAlignment="1">
      <alignment horizontal="center" vertical="center"/>
    </xf>
    <xf numFmtId="166" fontId="20" fillId="17" borderId="2" xfId="0" applyNumberFormat="1" applyFont="1" applyFill="1" applyBorder="1" applyAlignment="1">
      <alignment horizontal="center" vertical="center"/>
    </xf>
    <xf numFmtId="0" fontId="7" fillId="18" borderId="2" xfId="0" applyFont="1" applyFill="1" applyBorder="1" applyAlignment="1">
      <alignment horizontal="left" vertical="center"/>
    </xf>
    <xf numFmtId="164" fontId="20" fillId="18" borderId="2" xfId="0" applyNumberFormat="1" applyFont="1" applyFill="1" applyBorder="1" applyAlignment="1">
      <alignment horizontal="center" vertical="center"/>
    </xf>
    <xf numFmtId="2" fontId="20" fillId="18" borderId="2" xfId="0" applyNumberFormat="1" applyFont="1" applyFill="1" applyBorder="1" applyAlignment="1">
      <alignment horizontal="center" vertical="center"/>
    </xf>
    <xf numFmtId="166" fontId="20" fillId="18" borderId="2" xfId="0" applyNumberFormat="1" applyFont="1" applyFill="1" applyBorder="1" applyAlignment="1">
      <alignment horizontal="center" vertical="center"/>
    </xf>
    <xf numFmtId="0" fontId="18" fillId="7" borderId="0" xfId="0" applyFont="1" applyFill="1" applyAlignment="1">
      <alignment horizontal="left" vertical="center"/>
    </xf>
    <xf numFmtId="0" fontId="0" fillId="0" borderId="0" xfId="0"/>
    <xf numFmtId="165" fontId="14" fillId="10" borderId="2" xfId="0" applyNumberFormat="1" applyFont="1" applyFill="1" applyBorder="1" applyAlignment="1">
      <alignment horizontal="center" vertical="center"/>
    </xf>
    <xf numFmtId="0" fontId="5" fillId="10" borderId="2" xfId="0" applyFont="1" applyFill="1" applyBorder="1" applyAlignment="1">
      <alignment horizontal="left" vertical="center"/>
    </xf>
    <xf numFmtId="0" fontId="6" fillId="7" borderId="4" xfId="0" applyFont="1" applyFill="1" applyBorder="1" applyAlignment="1">
      <alignment horizontal="left" vertical="center"/>
    </xf>
    <xf numFmtId="0" fontId="19" fillId="7" borderId="0" xfId="0" applyFont="1" applyFill="1" applyAlignment="1">
      <alignment horizontal="left" vertical="center"/>
    </xf>
    <xf numFmtId="0" fontId="5" fillId="2" borderId="2" xfId="0" applyFont="1" applyFill="1" applyBorder="1" applyAlignment="1">
      <alignment horizontal="left" vertical="center"/>
    </xf>
    <xf numFmtId="2" fontId="7" fillId="8" borderId="2" xfId="0" applyNumberFormat="1" applyFont="1" applyFill="1" applyBorder="1" applyAlignment="1">
      <alignment horizontal="center" vertical="center"/>
    </xf>
    <xf numFmtId="0" fontId="7" fillId="8" borderId="0" xfId="0" applyFont="1" applyFill="1"/>
    <xf numFmtId="0" fontId="6" fillId="5" borderId="4" xfId="0" applyFont="1" applyFill="1" applyBorder="1" applyAlignment="1">
      <alignment horizontal="left" vertical="center"/>
    </xf>
    <xf numFmtId="0" fontId="5" fillId="2" borderId="2" xfId="0" applyFont="1" applyFill="1" applyBorder="1" applyAlignment="1">
      <alignment horizontal="left" vertical="center" wrapText="1"/>
    </xf>
    <xf numFmtId="0" fontId="5" fillId="15" borderId="2" xfId="0" applyFont="1" applyFill="1" applyBorder="1" applyAlignment="1">
      <alignment horizontal="left" vertical="center" wrapText="1"/>
    </xf>
    <xf numFmtId="165" fontId="5" fillId="10" borderId="2"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10" borderId="2" xfId="0" applyNumberFormat="1" applyFont="1" applyFill="1" applyBorder="1" applyAlignment="1">
      <alignment horizontal="center" vertical="center"/>
    </xf>
    <xf numFmtId="0" fontId="6" fillId="14" borderId="4" xfId="0" applyFont="1" applyFill="1" applyBorder="1" applyAlignment="1">
      <alignment horizontal="left" vertical="center"/>
    </xf>
    <xf numFmtId="0" fontId="5" fillId="6" borderId="2" xfId="0" applyFont="1" applyFill="1" applyBorder="1" applyAlignment="1">
      <alignment horizontal="left" vertical="center"/>
    </xf>
    <xf numFmtId="0" fontId="4" fillId="5" borderId="1" xfId="0" applyFont="1" applyFill="1" applyBorder="1" applyAlignment="1">
      <alignment horizontal="left" vertical="center"/>
    </xf>
    <xf numFmtId="0" fontId="8" fillId="9" borderId="2" xfId="0" applyFont="1" applyFill="1" applyBorder="1" applyAlignment="1">
      <alignment horizontal="left" vertical="center"/>
    </xf>
    <xf numFmtId="0" fontId="6" fillId="7" borderId="0" xfId="0" applyFont="1" applyFill="1" applyAlignment="1">
      <alignment horizontal="left" vertical="center"/>
    </xf>
    <xf numFmtId="0" fontId="1" fillId="3" borderId="0" xfId="0" applyFont="1" applyFill="1" applyAlignment="1">
      <alignment horizontal="left" vertical="center"/>
    </xf>
    <xf numFmtId="0" fontId="3" fillId="3" borderId="0" xfId="0" applyFont="1" applyFill="1" applyAlignment="1">
      <alignment horizontal="left" vertical="center"/>
    </xf>
    <xf numFmtId="0" fontId="2" fillId="3" borderId="0" xfId="0" applyFont="1" applyFill="1" applyAlignment="1">
      <alignment horizontal="left" vertical="center"/>
    </xf>
    <xf numFmtId="0" fontId="15" fillId="2" borderId="0" xfId="0" applyFont="1" applyFill="1" applyAlignment="1">
      <alignment horizontal="left" vertical="center"/>
    </xf>
    <xf numFmtId="0" fontId="6" fillId="3" borderId="4" xfId="0" applyFont="1" applyFill="1" applyBorder="1" applyAlignment="1">
      <alignment horizontal="left" vertical="center"/>
    </xf>
    <xf numFmtId="0" fontId="12" fillId="3" borderId="0" xfId="0" applyFont="1" applyFill="1" applyAlignment="1">
      <alignment horizontal="left" vertical="center"/>
    </xf>
    <xf numFmtId="0" fontId="18" fillId="3" borderId="0" xfId="0" applyFont="1" applyFill="1" applyAlignment="1">
      <alignment horizontal="left" vertical="center"/>
    </xf>
    <xf numFmtId="0" fontId="19" fillId="3" borderId="0" xfId="0" applyFont="1" applyFill="1" applyAlignment="1">
      <alignment horizontal="left" vertical="center"/>
    </xf>
    <xf numFmtId="0" fontId="18" fillId="16" borderId="0" xfId="0" applyFont="1" applyFill="1" applyAlignment="1">
      <alignment horizontal="left" vertical="center"/>
    </xf>
    <xf numFmtId="0" fontId="6" fillId="16" borderId="4" xfId="0" applyFont="1" applyFill="1" applyBorder="1" applyAlignment="1">
      <alignment horizontal="left" vertical="center"/>
    </xf>
    <xf numFmtId="0" fontId="19" fillId="16" borderId="0" xfId="0" applyFont="1" applyFill="1" applyAlignment="1">
      <alignment horizontal="left" vertical="center"/>
    </xf>
    <xf numFmtId="0" fontId="23" fillId="8" borderId="6" xfId="0" applyFont="1" applyFill="1" applyBorder="1" applyAlignment="1">
      <alignment horizontal="left" vertical="center" wrapText="1"/>
    </xf>
    <xf numFmtId="0" fontId="0" fillId="8" borderId="0" xfId="0" applyFill="1"/>
    <xf numFmtId="0" fontId="21" fillId="3" borderId="0" xfId="0" applyFont="1" applyFill="1" applyAlignment="1">
      <alignment horizontal="left" vertical="center"/>
    </xf>
    <xf numFmtId="0" fontId="6" fillId="4" borderId="4" xfId="0" applyFont="1" applyFill="1" applyBorder="1" applyAlignment="1">
      <alignment horizontal="left" vertical="center"/>
    </xf>
    <xf numFmtId="0" fontId="15" fillId="6"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showGridLines="0" topLeftCell="A17" workbookViewId="0">
      <selection activeCell="C14" sqref="C14:K14"/>
    </sheetView>
  </sheetViews>
  <sheetFormatPr defaultRowHeight="14.4" x14ac:dyDescent="0.3"/>
  <cols>
    <col min="1" max="1" width="3" customWidth="1"/>
    <col min="2" max="2" width="28" customWidth="1"/>
    <col min="3" max="5" width="26" customWidth="1"/>
    <col min="6" max="12" width="12" customWidth="1"/>
  </cols>
  <sheetData>
    <row r="1" spans="1:12" ht="18" customHeight="1" x14ac:dyDescent="0.3">
      <c r="A1" s="1"/>
      <c r="B1" s="1"/>
      <c r="C1" s="1"/>
      <c r="D1" s="1"/>
      <c r="E1" s="1"/>
      <c r="F1" s="1"/>
      <c r="G1" s="1"/>
      <c r="H1" s="1"/>
      <c r="I1" s="1"/>
      <c r="J1" s="1"/>
      <c r="K1" s="1"/>
      <c r="L1" s="1"/>
    </row>
    <row r="2" spans="1:12" ht="18" customHeight="1" x14ac:dyDescent="0.3">
      <c r="A2" s="2"/>
      <c r="B2" s="2"/>
      <c r="C2" s="2"/>
      <c r="D2" s="2"/>
      <c r="E2" s="2"/>
      <c r="F2" s="2"/>
      <c r="G2" s="2"/>
      <c r="H2" s="2"/>
      <c r="I2" s="2"/>
      <c r="J2" s="2"/>
      <c r="K2" s="2"/>
      <c r="L2" s="2"/>
    </row>
    <row r="3" spans="1:12" ht="18" customHeight="1" x14ac:dyDescent="0.3">
      <c r="A3" s="2"/>
      <c r="B3" s="94" t="s">
        <v>0</v>
      </c>
      <c r="C3" s="74"/>
      <c r="D3" s="74"/>
      <c r="E3" s="74"/>
      <c r="F3" s="74"/>
      <c r="G3" s="74"/>
      <c r="H3" s="74"/>
      <c r="I3" s="74"/>
      <c r="J3" s="74"/>
      <c r="K3" s="74"/>
      <c r="L3" s="2"/>
    </row>
    <row r="4" spans="1:12" ht="18" customHeight="1" x14ac:dyDescent="0.3">
      <c r="A4" s="2"/>
      <c r="B4" s="74"/>
      <c r="C4" s="74"/>
      <c r="D4" s="74"/>
      <c r="E4" s="74"/>
      <c r="F4" s="74"/>
      <c r="G4" s="74"/>
      <c r="H4" s="74"/>
      <c r="I4" s="74"/>
      <c r="J4" s="74"/>
      <c r="K4" s="74"/>
      <c r="L4" s="2"/>
    </row>
    <row r="5" spans="1:12" ht="18" customHeight="1" x14ac:dyDescent="0.3">
      <c r="A5" s="2"/>
      <c r="B5" s="96" t="s">
        <v>1</v>
      </c>
      <c r="C5" s="74"/>
      <c r="D5" s="74"/>
      <c r="E5" s="74"/>
      <c r="F5" s="74"/>
      <c r="G5" s="74"/>
      <c r="H5" s="74"/>
      <c r="I5" s="74"/>
      <c r="J5" s="74"/>
      <c r="K5" s="74"/>
      <c r="L5" s="2"/>
    </row>
    <row r="6" spans="1:12" ht="18" customHeight="1" x14ac:dyDescent="0.3">
      <c r="A6" s="2"/>
      <c r="B6" s="95" t="s">
        <v>272</v>
      </c>
      <c r="C6" s="74"/>
      <c r="D6" s="74"/>
      <c r="E6" s="74"/>
      <c r="F6" s="74"/>
      <c r="G6" s="74"/>
      <c r="H6" s="74"/>
      <c r="I6" s="74"/>
      <c r="J6" s="74"/>
      <c r="K6" s="74"/>
      <c r="L6" s="2"/>
    </row>
    <row r="7" spans="1:12" ht="18" customHeight="1" x14ac:dyDescent="0.3">
      <c r="A7" s="2"/>
      <c r="B7" s="2"/>
      <c r="C7" s="2"/>
      <c r="D7" s="2"/>
      <c r="E7" s="2"/>
      <c r="F7" s="2"/>
      <c r="G7" s="2"/>
      <c r="H7" s="2"/>
      <c r="I7" s="2"/>
      <c r="J7" s="2"/>
      <c r="K7" s="2"/>
      <c r="L7" s="2"/>
    </row>
    <row r="8" spans="1:12" ht="4.95" customHeight="1" x14ac:dyDescent="0.3">
      <c r="A8" s="1"/>
      <c r="B8" s="3"/>
      <c r="C8" s="3"/>
      <c r="D8" s="3"/>
      <c r="E8" s="3"/>
      <c r="F8" s="3"/>
      <c r="G8" s="3"/>
      <c r="H8" s="3"/>
      <c r="I8" s="3"/>
      <c r="J8" s="3"/>
      <c r="K8" s="3"/>
      <c r="L8" s="1"/>
    </row>
    <row r="9" spans="1:12" ht="18" customHeight="1" x14ac:dyDescent="0.3">
      <c r="A9" s="1"/>
      <c r="B9" s="1"/>
      <c r="C9" s="1"/>
      <c r="D9" s="1"/>
      <c r="E9" s="1"/>
      <c r="F9" s="1"/>
      <c r="G9" s="1"/>
      <c r="H9" s="1"/>
      <c r="I9" s="1"/>
      <c r="J9" s="1"/>
      <c r="K9" s="1"/>
      <c r="L9" s="1"/>
    </row>
    <row r="10" spans="1:12" ht="18" customHeight="1" x14ac:dyDescent="0.3">
      <c r="A10" s="1"/>
      <c r="B10" s="91" t="s">
        <v>2</v>
      </c>
      <c r="C10" s="90" t="s">
        <v>3</v>
      </c>
      <c r="D10" s="74"/>
      <c r="E10" s="74"/>
      <c r="F10" s="74"/>
      <c r="G10" s="74"/>
      <c r="H10" s="74"/>
      <c r="I10" s="74"/>
      <c r="J10" s="74"/>
      <c r="K10" s="74"/>
      <c r="L10" s="1"/>
    </row>
    <row r="11" spans="1:12" ht="18" customHeight="1" x14ac:dyDescent="0.3">
      <c r="A11" s="1"/>
      <c r="B11" s="91" t="s">
        <v>4</v>
      </c>
      <c r="C11" s="90" t="s">
        <v>5</v>
      </c>
      <c r="D11" s="74"/>
      <c r="E11" s="74"/>
      <c r="F11" s="74"/>
      <c r="G11" s="74"/>
      <c r="H11" s="74"/>
      <c r="I11" s="74"/>
      <c r="J11" s="74"/>
      <c r="K11" s="74"/>
      <c r="L11" s="1"/>
    </row>
    <row r="12" spans="1:12" ht="18" customHeight="1" x14ac:dyDescent="0.3">
      <c r="A12" s="1"/>
      <c r="B12" s="91" t="s">
        <v>6</v>
      </c>
      <c r="C12" s="90" t="s">
        <v>7</v>
      </c>
      <c r="D12" s="74"/>
      <c r="E12" s="74"/>
      <c r="F12" s="74"/>
      <c r="G12" s="74"/>
      <c r="H12" s="74"/>
      <c r="I12" s="74"/>
      <c r="J12" s="74"/>
      <c r="K12" s="74"/>
      <c r="L12" s="1"/>
    </row>
    <row r="13" spans="1:12" ht="18" customHeight="1" x14ac:dyDescent="0.3">
      <c r="A13" s="1"/>
      <c r="B13" s="91" t="s">
        <v>8</v>
      </c>
      <c r="C13" s="90" t="s">
        <v>9</v>
      </c>
      <c r="D13" s="74"/>
      <c r="E13" s="74"/>
      <c r="F13" s="74"/>
      <c r="G13" s="74"/>
      <c r="H13" s="74"/>
      <c r="I13" s="74"/>
      <c r="J13" s="74"/>
      <c r="K13" s="74"/>
      <c r="L13" s="1"/>
    </row>
    <row r="14" spans="1:12" ht="18" customHeight="1" x14ac:dyDescent="0.3">
      <c r="A14" s="1"/>
      <c r="B14" s="91" t="s">
        <v>10</v>
      </c>
      <c r="C14" s="90" t="s">
        <v>11</v>
      </c>
      <c r="D14" s="74"/>
      <c r="E14" s="74"/>
      <c r="F14" s="74"/>
      <c r="G14" s="74"/>
      <c r="H14" s="74"/>
      <c r="I14" s="74"/>
      <c r="J14" s="74"/>
      <c r="K14" s="74"/>
      <c r="L14" s="1"/>
    </row>
    <row r="15" spans="1:12" ht="18" customHeight="1" x14ac:dyDescent="0.3">
      <c r="A15" s="1"/>
      <c r="B15" s="91" t="s">
        <v>12</v>
      </c>
      <c r="C15" s="90" t="s">
        <v>13</v>
      </c>
      <c r="D15" s="74"/>
      <c r="E15" s="74"/>
      <c r="F15" s="74"/>
      <c r="G15" s="74"/>
      <c r="H15" s="74"/>
      <c r="I15" s="74"/>
      <c r="J15" s="74"/>
      <c r="K15" s="74"/>
      <c r="L15" s="1"/>
    </row>
    <row r="16" spans="1:12" ht="18" customHeight="1" x14ac:dyDescent="0.3">
      <c r="A16" s="1"/>
      <c r="B16" s="1"/>
      <c r="C16" s="1"/>
      <c r="D16" s="1"/>
      <c r="E16" s="1"/>
      <c r="F16" s="1"/>
      <c r="G16" s="1"/>
      <c r="H16" s="1"/>
      <c r="I16" s="1"/>
      <c r="J16" s="1"/>
      <c r="K16" s="1"/>
      <c r="L16" s="1"/>
    </row>
    <row r="17" spans="1:12" ht="24" customHeight="1" x14ac:dyDescent="0.3">
      <c r="A17" s="1"/>
      <c r="B17" s="93" t="s">
        <v>14</v>
      </c>
      <c r="C17" s="74"/>
      <c r="D17" s="74"/>
      <c r="E17" s="74"/>
      <c r="F17" s="74"/>
      <c r="G17" s="74"/>
      <c r="H17" s="74"/>
      <c r="I17" s="74"/>
      <c r="J17" s="74"/>
      <c r="K17" s="74"/>
      <c r="L17" s="1"/>
    </row>
    <row r="18" spans="1:12" ht="22.05" customHeight="1" x14ac:dyDescent="0.3">
      <c r="A18" s="1"/>
      <c r="B18" s="4" t="s">
        <v>15</v>
      </c>
      <c r="C18" s="5" t="s">
        <v>16</v>
      </c>
      <c r="D18" s="92" t="s">
        <v>17</v>
      </c>
      <c r="E18" s="74"/>
      <c r="F18" s="74"/>
      <c r="G18" s="74"/>
      <c r="H18" s="74"/>
      <c r="I18" s="74"/>
      <c r="J18" s="74"/>
      <c r="K18" s="74"/>
      <c r="L18" s="1"/>
    </row>
    <row r="19" spans="1:12" ht="22.05" customHeight="1" x14ac:dyDescent="0.3">
      <c r="A19" s="1"/>
      <c r="B19" s="4" t="s">
        <v>18</v>
      </c>
      <c r="C19" s="5" t="s">
        <v>19</v>
      </c>
      <c r="D19" s="92" t="s">
        <v>20</v>
      </c>
      <c r="E19" s="74"/>
      <c r="F19" s="74"/>
      <c r="G19" s="74"/>
      <c r="H19" s="74"/>
      <c r="I19" s="74"/>
      <c r="J19" s="74"/>
      <c r="K19" s="74"/>
      <c r="L19" s="1"/>
    </row>
    <row r="20" spans="1:12" ht="22.05" customHeight="1" x14ac:dyDescent="0.3">
      <c r="A20" s="1"/>
      <c r="B20" s="4" t="s">
        <v>21</v>
      </c>
      <c r="C20" s="5" t="s">
        <v>22</v>
      </c>
      <c r="D20" s="92" t="s">
        <v>23</v>
      </c>
      <c r="E20" s="74"/>
      <c r="F20" s="74"/>
      <c r="G20" s="74"/>
      <c r="H20" s="74"/>
      <c r="I20" s="74"/>
      <c r="J20" s="74"/>
      <c r="K20" s="74"/>
      <c r="L20" s="1"/>
    </row>
    <row r="21" spans="1:12" ht="22.05" customHeight="1" x14ac:dyDescent="0.3">
      <c r="A21" s="1"/>
      <c r="B21" s="4" t="s">
        <v>24</v>
      </c>
      <c r="C21" s="5" t="s">
        <v>25</v>
      </c>
      <c r="D21" s="92" t="s">
        <v>26</v>
      </c>
      <c r="E21" s="74"/>
      <c r="F21" s="74"/>
      <c r="G21" s="74"/>
      <c r="H21" s="74"/>
      <c r="I21" s="74"/>
      <c r="J21" s="74"/>
      <c r="K21" s="74"/>
      <c r="L21" s="1"/>
    </row>
    <row r="22" spans="1:12" ht="22.05" customHeight="1" x14ac:dyDescent="0.3">
      <c r="A22" s="1"/>
      <c r="B22" s="4" t="s">
        <v>27</v>
      </c>
      <c r="C22" s="5" t="s">
        <v>28</v>
      </c>
      <c r="D22" s="92" t="s">
        <v>29</v>
      </c>
      <c r="E22" s="74"/>
      <c r="F22" s="74"/>
      <c r="G22" s="74"/>
      <c r="H22" s="74"/>
      <c r="I22" s="74"/>
      <c r="J22" s="74"/>
      <c r="K22" s="74"/>
      <c r="L22" s="1"/>
    </row>
    <row r="23" spans="1:12" ht="18" customHeight="1" x14ac:dyDescent="0.3">
      <c r="A23" s="1"/>
      <c r="B23" s="1"/>
      <c r="C23" s="1"/>
      <c r="D23" s="1"/>
      <c r="E23" s="1"/>
      <c r="F23" s="1"/>
      <c r="G23" s="1"/>
      <c r="H23" s="1"/>
      <c r="I23" s="1"/>
      <c r="J23" s="1"/>
      <c r="K23" s="1"/>
      <c r="L23" s="1"/>
    </row>
    <row r="24" spans="1:12" ht="24" customHeight="1" x14ac:dyDescent="0.3">
      <c r="A24" s="1"/>
      <c r="B24" s="93" t="s">
        <v>30</v>
      </c>
      <c r="C24" s="74"/>
      <c r="D24" s="74"/>
      <c r="E24" s="74"/>
      <c r="F24" s="74"/>
      <c r="G24" s="74"/>
      <c r="H24" s="74"/>
      <c r="I24" s="74"/>
      <c r="J24" s="74"/>
      <c r="K24" s="74"/>
      <c r="L24" s="1"/>
    </row>
    <row r="25" spans="1:12" ht="19.95" customHeight="1" x14ac:dyDescent="0.3">
      <c r="A25" s="1"/>
      <c r="B25" s="6" t="s">
        <v>31</v>
      </c>
      <c r="C25" s="90" t="s">
        <v>32</v>
      </c>
      <c r="D25" s="74"/>
      <c r="E25" s="74"/>
      <c r="F25" s="74"/>
      <c r="G25" s="74"/>
      <c r="H25" s="74"/>
      <c r="I25" s="74"/>
      <c r="J25" s="74"/>
      <c r="K25" s="74"/>
      <c r="L25" s="1"/>
    </row>
    <row r="26" spans="1:12" ht="19.95" customHeight="1" x14ac:dyDescent="0.3">
      <c r="A26" s="1"/>
      <c r="B26" s="7" t="s">
        <v>33</v>
      </c>
      <c r="C26" s="90" t="s">
        <v>34</v>
      </c>
      <c r="D26" s="74"/>
      <c r="E26" s="74"/>
      <c r="F26" s="74"/>
      <c r="G26" s="74"/>
      <c r="H26" s="74"/>
      <c r="I26" s="74"/>
      <c r="J26" s="74"/>
      <c r="K26" s="74"/>
      <c r="L26" s="1"/>
    </row>
    <row r="27" spans="1:12" ht="19.95" customHeight="1" x14ac:dyDescent="0.3">
      <c r="A27" s="1"/>
      <c r="B27" s="8" t="s">
        <v>35</v>
      </c>
      <c r="C27" s="90" t="s">
        <v>36</v>
      </c>
      <c r="D27" s="74"/>
      <c r="E27" s="74"/>
      <c r="F27" s="74"/>
      <c r="G27" s="74"/>
      <c r="H27" s="74"/>
      <c r="I27" s="74"/>
      <c r="J27" s="74"/>
      <c r="K27" s="74"/>
      <c r="L27" s="1"/>
    </row>
    <row r="28" spans="1:12" ht="19.95" customHeight="1" x14ac:dyDescent="0.3">
      <c r="A28" s="1"/>
      <c r="B28" s="9" t="s">
        <v>37</v>
      </c>
      <c r="C28" s="90" t="s">
        <v>38</v>
      </c>
      <c r="D28" s="74"/>
      <c r="E28" s="74"/>
      <c r="F28" s="74"/>
      <c r="G28" s="74"/>
      <c r="H28" s="74"/>
      <c r="I28" s="74"/>
      <c r="J28" s="74"/>
      <c r="K28" s="74"/>
      <c r="L28" s="1"/>
    </row>
    <row r="29" spans="1:12" ht="18" customHeight="1" x14ac:dyDescent="0.3">
      <c r="A29" s="1"/>
      <c r="B29" s="1"/>
      <c r="C29" s="1"/>
      <c r="D29" s="1"/>
      <c r="E29" s="1"/>
      <c r="F29" s="1"/>
      <c r="G29" s="1"/>
      <c r="H29" s="1"/>
      <c r="I29" s="1"/>
      <c r="J29" s="1"/>
      <c r="K29" s="1"/>
      <c r="L29" s="1"/>
    </row>
    <row r="30" spans="1:12" ht="18" customHeight="1" x14ac:dyDescent="0.3">
      <c r="A30" s="1"/>
      <c r="B30" s="1"/>
      <c r="C30" s="1"/>
      <c r="D30" s="1"/>
      <c r="E30" s="1"/>
      <c r="F30" s="1"/>
      <c r="G30" s="1"/>
      <c r="H30" s="1"/>
      <c r="I30" s="1"/>
      <c r="J30" s="1"/>
      <c r="K30" s="1"/>
      <c r="L30" s="1"/>
    </row>
    <row r="31" spans="1:12" ht="18" customHeight="1" x14ac:dyDescent="0.3">
      <c r="A31" s="1"/>
      <c r="B31" s="1"/>
      <c r="C31" s="1"/>
      <c r="D31" s="1"/>
      <c r="E31" s="1"/>
      <c r="F31" s="1"/>
      <c r="G31" s="1"/>
      <c r="H31" s="1"/>
      <c r="I31" s="1"/>
      <c r="J31" s="1"/>
      <c r="K31" s="1"/>
      <c r="L31" s="1"/>
    </row>
    <row r="32" spans="1:12" ht="18" customHeight="1" x14ac:dyDescent="0.3">
      <c r="A32" s="1"/>
      <c r="B32" s="1"/>
      <c r="C32" s="1"/>
      <c r="D32" s="1"/>
      <c r="E32" s="1"/>
      <c r="F32" s="1"/>
      <c r="G32" s="1"/>
      <c r="H32" s="1"/>
      <c r="I32" s="1"/>
      <c r="J32" s="1"/>
      <c r="K32" s="1"/>
      <c r="L32" s="1"/>
    </row>
    <row r="33" spans="1:12" ht="18" customHeight="1" x14ac:dyDescent="0.3">
      <c r="A33" s="1"/>
      <c r="B33" s="1"/>
      <c r="C33" s="1"/>
      <c r="D33" s="1"/>
      <c r="E33" s="1"/>
      <c r="F33" s="1"/>
      <c r="G33" s="1"/>
      <c r="H33" s="1"/>
      <c r="I33" s="1"/>
      <c r="J33" s="1"/>
      <c r="K33" s="1"/>
      <c r="L33" s="1"/>
    </row>
    <row r="34" spans="1:12" ht="18" customHeight="1" x14ac:dyDescent="0.3">
      <c r="A34" s="1"/>
      <c r="B34" s="1"/>
      <c r="C34" s="1"/>
      <c r="D34" s="1"/>
      <c r="E34" s="1"/>
      <c r="F34" s="1"/>
      <c r="G34" s="1"/>
      <c r="H34" s="1"/>
      <c r="I34" s="1"/>
      <c r="J34" s="1"/>
      <c r="K34" s="1"/>
      <c r="L34" s="1"/>
    </row>
    <row r="35" spans="1:12" ht="18" customHeight="1" x14ac:dyDescent="0.3">
      <c r="A35" s="1"/>
      <c r="B35" s="1"/>
      <c r="C35" s="1"/>
      <c r="D35" s="1"/>
      <c r="E35" s="1"/>
      <c r="F35" s="1"/>
      <c r="G35" s="1"/>
      <c r="H35" s="1"/>
      <c r="I35" s="1"/>
      <c r="J35" s="1"/>
      <c r="K35" s="1"/>
      <c r="L35" s="1"/>
    </row>
    <row r="36" spans="1:12" ht="18" customHeight="1" x14ac:dyDescent="0.3">
      <c r="A36" s="1"/>
      <c r="B36" s="1"/>
      <c r="C36" s="1"/>
      <c r="D36" s="1"/>
      <c r="E36" s="1"/>
      <c r="F36" s="1"/>
      <c r="G36" s="1"/>
      <c r="H36" s="1"/>
      <c r="I36" s="1"/>
      <c r="J36" s="1"/>
      <c r="K36" s="1"/>
      <c r="L36" s="1"/>
    </row>
    <row r="37" spans="1:12" ht="18" customHeight="1" x14ac:dyDescent="0.3">
      <c r="A37" s="1"/>
      <c r="B37" s="1"/>
      <c r="C37" s="1"/>
      <c r="D37" s="1"/>
      <c r="E37" s="1"/>
      <c r="F37" s="1"/>
      <c r="G37" s="1"/>
      <c r="H37" s="1"/>
      <c r="I37" s="1"/>
      <c r="J37" s="1"/>
      <c r="K37" s="1"/>
      <c r="L37" s="1"/>
    </row>
    <row r="38" spans="1:12" ht="18" customHeight="1" x14ac:dyDescent="0.3">
      <c r="A38" s="1"/>
      <c r="B38" s="1"/>
      <c r="C38" s="1"/>
      <c r="D38" s="1"/>
      <c r="E38" s="1"/>
      <c r="F38" s="1"/>
      <c r="G38" s="1"/>
      <c r="H38" s="1"/>
      <c r="I38" s="1"/>
      <c r="J38" s="1"/>
      <c r="K38" s="1"/>
      <c r="L38" s="1"/>
    </row>
    <row r="39" spans="1:12" ht="18" customHeight="1" x14ac:dyDescent="0.3">
      <c r="A39" s="1"/>
      <c r="B39" s="1"/>
      <c r="C39" s="1"/>
      <c r="D39" s="1"/>
      <c r="E39" s="1"/>
      <c r="F39" s="1"/>
      <c r="G39" s="1"/>
      <c r="H39" s="1"/>
      <c r="I39" s="1"/>
      <c r="J39" s="1"/>
      <c r="K39" s="1"/>
      <c r="L39" s="1"/>
    </row>
    <row r="40" spans="1:12" ht="18" customHeight="1" x14ac:dyDescent="0.3">
      <c r="A40" s="1"/>
      <c r="B40" s="1"/>
      <c r="C40" s="1"/>
      <c r="D40" s="1"/>
      <c r="E40" s="1"/>
      <c r="F40" s="1"/>
      <c r="G40" s="1"/>
      <c r="H40" s="1"/>
      <c r="I40" s="1"/>
      <c r="J40" s="1"/>
      <c r="K40" s="1"/>
      <c r="L40" s="1"/>
    </row>
    <row r="41" spans="1:12" ht="18" customHeight="1" x14ac:dyDescent="0.3">
      <c r="A41" s="1"/>
      <c r="B41" s="1"/>
      <c r="C41" s="1"/>
      <c r="D41" s="1"/>
      <c r="E41" s="1"/>
      <c r="F41" s="1"/>
      <c r="G41" s="1"/>
      <c r="H41" s="1"/>
      <c r="I41" s="1"/>
      <c r="J41" s="1"/>
      <c r="K41" s="1"/>
      <c r="L41" s="1"/>
    </row>
    <row r="42" spans="1:12" ht="18" customHeight="1" x14ac:dyDescent="0.3">
      <c r="A42" s="1"/>
      <c r="B42" s="1"/>
      <c r="C42" s="1"/>
      <c r="D42" s="1"/>
      <c r="E42" s="1"/>
      <c r="F42" s="1"/>
      <c r="G42" s="1"/>
      <c r="H42" s="1"/>
      <c r="I42" s="1"/>
      <c r="J42" s="1"/>
      <c r="K42" s="1"/>
      <c r="L42" s="1"/>
    </row>
    <row r="43" spans="1:12" ht="18" customHeight="1" x14ac:dyDescent="0.3">
      <c r="A43" s="1"/>
      <c r="B43" s="1"/>
      <c r="C43" s="1"/>
      <c r="D43" s="1"/>
      <c r="E43" s="1"/>
      <c r="F43" s="1"/>
      <c r="G43" s="1"/>
      <c r="H43" s="1"/>
      <c r="I43" s="1"/>
      <c r="J43" s="1"/>
      <c r="K43" s="1"/>
      <c r="L43" s="1"/>
    </row>
    <row r="44" spans="1:12" ht="18" customHeight="1" x14ac:dyDescent="0.3">
      <c r="A44" s="1"/>
      <c r="B44" s="1"/>
      <c r="C44" s="1"/>
      <c r="D44" s="1"/>
      <c r="E44" s="1"/>
      <c r="F44" s="1"/>
      <c r="G44" s="1"/>
      <c r="H44" s="1"/>
      <c r="I44" s="1"/>
      <c r="J44" s="1"/>
      <c r="K44" s="1"/>
      <c r="L44" s="1"/>
    </row>
    <row r="45" spans="1:12" ht="18" customHeight="1" x14ac:dyDescent="0.3">
      <c r="A45" s="1"/>
      <c r="B45" s="1"/>
      <c r="C45" s="1"/>
      <c r="D45" s="1"/>
      <c r="E45" s="1"/>
      <c r="F45" s="1"/>
      <c r="G45" s="1"/>
      <c r="H45" s="1"/>
      <c r="I45" s="1"/>
      <c r="J45" s="1"/>
      <c r="K45" s="1"/>
      <c r="L45" s="1"/>
    </row>
    <row r="46" spans="1:12" ht="18" customHeight="1" x14ac:dyDescent="0.3">
      <c r="A46" s="1"/>
      <c r="B46" s="1"/>
      <c r="C46" s="1"/>
      <c r="D46" s="1"/>
      <c r="E46" s="1"/>
      <c r="F46" s="1"/>
      <c r="G46" s="1"/>
      <c r="H46" s="1"/>
      <c r="I46" s="1"/>
      <c r="J46" s="1"/>
      <c r="K46" s="1"/>
      <c r="L46" s="1"/>
    </row>
    <row r="47" spans="1:12" ht="18" customHeight="1" x14ac:dyDescent="0.3">
      <c r="A47" s="1"/>
      <c r="B47" s="1"/>
      <c r="C47" s="1"/>
      <c r="D47" s="1"/>
      <c r="E47" s="1"/>
      <c r="F47" s="1"/>
      <c r="G47" s="1"/>
      <c r="H47" s="1"/>
      <c r="I47" s="1"/>
      <c r="J47" s="1"/>
      <c r="K47" s="1"/>
      <c r="L47" s="1"/>
    </row>
    <row r="48" spans="1:12" ht="18" customHeight="1" x14ac:dyDescent="0.3">
      <c r="A48" s="1"/>
      <c r="B48" s="1"/>
      <c r="C48" s="1"/>
      <c r="D48" s="1"/>
      <c r="E48" s="1"/>
      <c r="F48" s="1"/>
      <c r="G48" s="1"/>
      <c r="H48" s="1"/>
      <c r="I48" s="1"/>
      <c r="J48" s="1"/>
      <c r="K48" s="1"/>
      <c r="L48" s="1"/>
    </row>
    <row r="49" spans="1:12" ht="18" customHeight="1" x14ac:dyDescent="0.3">
      <c r="A49" s="1"/>
      <c r="B49" s="1"/>
      <c r="C49" s="1"/>
      <c r="D49" s="1"/>
      <c r="E49" s="1"/>
      <c r="F49" s="1"/>
      <c r="G49" s="1"/>
      <c r="H49" s="1"/>
      <c r="I49" s="1"/>
      <c r="J49" s="1"/>
      <c r="K49" s="1"/>
      <c r="L49" s="1"/>
    </row>
    <row r="50" spans="1:12" ht="18" customHeight="1" x14ac:dyDescent="0.3">
      <c r="A50" s="1"/>
      <c r="B50" s="1"/>
      <c r="C50" s="1"/>
      <c r="D50" s="1"/>
      <c r="E50" s="1"/>
      <c r="F50" s="1"/>
      <c r="G50" s="1"/>
      <c r="H50" s="1"/>
      <c r="I50" s="1"/>
      <c r="J50" s="1"/>
      <c r="K50" s="1"/>
      <c r="L50" s="1"/>
    </row>
  </sheetData>
  <mergeCells count="26">
    <mergeCell ref="B3:K4"/>
    <mergeCell ref="B6:K6"/>
    <mergeCell ref="D22:K22"/>
    <mergeCell ref="B24:K24"/>
    <mergeCell ref="C12:K12"/>
    <mergeCell ref="B5:K5"/>
    <mergeCell ref="C11:K11"/>
    <mergeCell ref="D21:K21"/>
    <mergeCell ref="B10"/>
    <mergeCell ref="D20:K20"/>
    <mergeCell ref="C10:K10"/>
    <mergeCell ref="D19:K19"/>
    <mergeCell ref="B15"/>
    <mergeCell ref="C27:K27"/>
    <mergeCell ref="B12"/>
    <mergeCell ref="C28:K28"/>
    <mergeCell ref="B11"/>
    <mergeCell ref="C13:K13"/>
    <mergeCell ref="B14"/>
    <mergeCell ref="D18:K18"/>
    <mergeCell ref="C15:K15"/>
    <mergeCell ref="B13"/>
    <mergeCell ref="B17:K17"/>
    <mergeCell ref="C14:K14"/>
    <mergeCell ref="C26:K26"/>
    <mergeCell ref="C25:K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0"/>
  <sheetViews>
    <sheetView showGridLines="0" topLeftCell="A31" workbookViewId="0">
      <selection activeCell="D40" sqref="D40"/>
    </sheetView>
  </sheetViews>
  <sheetFormatPr defaultRowHeight="14.4" x14ac:dyDescent="0.3"/>
  <cols>
    <col min="1" max="1" width="3" customWidth="1"/>
    <col min="2" max="2" width="37.109375" customWidth="1"/>
    <col min="3" max="3" width="18" customWidth="1"/>
    <col min="4" max="4" width="20" customWidth="1"/>
    <col min="5" max="5" width="35" customWidth="1"/>
    <col min="6" max="8" width="14" customWidth="1"/>
  </cols>
  <sheetData>
    <row r="1" spans="1:12" x14ac:dyDescent="0.3">
      <c r="A1" s="1"/>
      <c r="B1" s="1"/>
      <c r="C1" s="1"/>
      <c r="D1" s="1"/>
      <c r="E1" s="1"/>
      <c r="F1" s="1"/>
      <c r="G1" s="1"/>
      <c r="H1" s="1"/>
      <c r="I1" s="1"/>
      <c r="J1" s="1"/>
      <c r="K1" s="1"/>
      <c r="L1" s="1"/>
    </row>
    <row r="2" spans="1:12" x14ac:dyDescent="0.3">
      <c r="A2" s="2"/>
      <c r="B2" s="99" t="s">
        <v>39</v>
      </c>
      <c r="C2" s="74"/>
      <c r="D2" s="74"/>
      <c r="E2" s="74"/>
      <c r="F2" s="74"/>
      <c r="G2" s="74"/>
      <c r="H2" s="74"/>
      <c r="I2" s="1"/>
      <c r="J2" s="1"/>
      <c r="K2" s="1"/>
      <c r="L2" s="1"/>
    </row>
    <row r="3" spans="1:12" x14ac:dyDescent="0.3">
      <c r="A3" s="2"/>
      <c r="B3" s="74"/>
      <c r="C3" s="74"/>
      <c r="D3" s="74"/>
      <c r="E3" s="74"/>
      <c r="F3" s="74"/>
      <c r="G3" s="74"/>
      <c r="H3" s="74"/>
      <c r="I3" s="1"/>
      <c r="J3" s="1"/>
      <c r="K3" s="1"/>
      <c r="L3" s="1"/>
    </row>
    <row r="4" spans="1:12" x14ac:dyDescent="0.3">
      <c r="A4" s="2"/>
      <c r="B4" s="74"/>
      <c r="C4" s="74"/>
      <c r="D4" s="74"/>
      <c r="E4" s="74"/>
      <c r="F4" s="74"/>
      <c r="G4" s="74"/>
      <c r="H4" s="74"/>
      <c r="I4" s="1"/>
      <c r="J4" s="1"/>
      <c r="K4" s="1"/>
      <c r="L4" s="1"/>
    </row>
    <row r="5" spans="1:12" x14ac:dyDescent="0.3">
      <c r="A5" s="1"/>
      <c r="B5" s="1"/>
      <c r="C5" s="1"/>
      <c r="D5" s="1"/>
      <c r="E5" s="1"/>
      <c r="F5" s="1"/>
      <c r="G5" s="1"/>
      <c r="H5" s="1"/>
      <c r="I5" s="1"/>
      <c r="J5" s="1"/>
      <c r="K5" s="1"/>
      <c r="L5" s="1"/>
    </row>
    <row r="6" spans="1:12" x14ac:dyDescent="0.3">
      <c r="A6" s="1"/>
      <c r="B6" s="98" t="s">
        <v>40</v>
      </c>
      <c r="C6" s="74"/>
      <c r="D6" s="74"/>
      <c r="E6" s="74"/>
      <c r="F6" s="74"/>
      <c r="G6" s="74"/>
      <c r="H6" s="1"/>
      <c r="I6" s="1"/>
      <c r="J6" s="1"/>
      <c r="K6" s="1"/>
      <c r="L6" s="1"/>
    </row>
    <row r="7" spans="1:12" x14ac:dyDescent="0.3">
      <c r="A7" s="1"/>
      <c r="B7" s="10" t="s">
        <v>41</v>
      </c>
      <c r="C7" s="10" t="s">
        <v>42</v>
      </c>
      <c r="D7" s="10" t="s">
        <v>43</v>
      </c>
      <c r="E7" s="1"/>
      <c r="F7" s="1"/>
      <c r="G7" s="1"/>
      <c r="H7" s="1"/>
      <c r="I7" s="1"/>
      <c r="J7" s="1"/>
      <c r="K7" s="1"/>
      <c r="L7" s="1"/>
    </row>
    <row r="8" spans="1:12" ht="22.8" x14ac:dyDescent="0.3">
      <c r="A8" s="1"/>
      <c r="B8" s="11" t="s">
        <v>44</v>
      </c>
      <c r="C8" s="12">
        <v>7.1999999999999995E-2</v>
      </c>
      <c r="D8" s="13" t="s">
        <v>45</v>
      </c>
      <c r="E8" s="1"/>
      <c r="F8" s="1"/>
      <c r="G8" s="1"/>
      <c r="H8" s="1"/>
      <c r="I8" s="1"/>
      <c r="J8" s="1"/>
      <c r="K8" s="1"/>
      <c r="L8" s="1"/>
    </row>
    <row r="9" spans="1:12" ht="22.8" x14ac:dyDescent="0.3">
      <c r="A9" s="1"/>
      <c r="B9" s="14" t="s">
        <v>46</v>
      </c>
      <c r="C9" s="15">
        <v>0.13</v>
      </c>
      <c r="D9" s="16" t="s">
        <v>47</v>
      </c>
      <c r="E9" s="1"/>
      <c r="F9" s="1"/>
      <c r="G9" s="1"/>
      <c r="H9" s="1"/>
      <c r="I9" s="1"/>
      <c r="J9" s="1"/>
      <c r="K9" s="1"/>
      <c r="L9" s="1"/>
    </row>
    <row r="10" spans="1:12" x14ac:dyDescent="0.3">
      <c r="A10" s="1"/>
      <c r="B10" s="11" t="s">
        <v>48</v>
      </c>
      <c r="C10" s="17">
        <f>C9-C8</f>
        <v>5.800000000000001E-2</v>
      </c>
      <c r="D10" s="13" t="e">
        <f>Nifty return – Risk-free rate</f>
        <v>#NAME?</v>
      </c>
      <c r="E10" s="1"/>
      <c r="F10" s="1"/>
      <c r="G10" s="1"/>
      <c r="H10" s="1"/>
      <c r="I10" s="1"/>
      <c r="J10" s="1"/>
      <c r="K10" s="1"/>
      <c r="L10" s="1"/>
    </row>
    <row r="11" spans="1:12" ht="22.8" x14ac:dyDescent="0.3">
      <c r="A11" s="1"/>
      <c r="B11" s="14" t="s">
        <v>49</v>
      </c>
      <c r="C11" s="15">
        <v>5.5E-2</v>
      </c>
      <c r="D11" s="16" t="s">
        <v>50</v>
      </c>
      <c r="E11" s="1"/>
      <c r="F11" s="1"/>
      <c r="G11" s="1"/>
      <c r="H11" s="1"/>
      <c r="I11" s="1"/>
      <c r="J11" s="1"/>
      <c r="K11" s="1"/>
      <c r="L11" s="1"/>
    </row>
    <row r="12" spans="1:12" x14ac:dyDescent="0.3">
      <c r="A12" s="1"/>
      <c r="B12" s="11" t="s">
        <v>51</v>
      </c>
      <c r="C12" s="17">
        <f>C8-C10</f>
        <v>1.3999999999999985E-2</v>
      </c>
      <c r="D12" s="13" t="e">
        <f>Risk-free – Inflation</f>
        <v>#NAME?</v>
      </c>
      <c r="E12" s="1"/>
      <c r="F12" s="1"/>
      <c r="G12" s="1"/>
      <c r="H12" s="1"/>
      <c r="I12" s="1"/>
      <c r="J12" s="1"/>
      <c r="K12" s="1"/>
      <c r="L12" s="1"/>
    </row>
    <row r="13" spans="1:12" ht="22.8" x14ac:dyDescent="0.3">
      <c r="A13" s="1"/>
      <c r="B13" s="14" t="s">
        <v>52</v>
      </c>
      <c r="C13" s="15">
        <v>0.18</v>
      </c>
      <c r="D13" s="16" t="s">
        <v>53</v>
      </c>
      <c r="E13" s="1"/>
      <c r="F13" s="1"/>
      <c r="G13" s="1"/>
      <c r="H13" s="1"/>
      <c r="I13" s="1"/>
      <c r="J13" s="1"/>
      <c r="K13" s="1"/>
      <c r="L13" s="1"/>
    </row>
    <row r="14" spans="1:12" x14ac:dyDescent="0.3">
      <c r="A14" s="1"/>
      <c r="B14" s="11" t="s">
        <v>54</v>
      </c>
      <c r="C14" s="18">
        <v>84.5</v>
      </c>
      <c r="D14" s="13" t="s">
        <v>55</v>
      </c>
      <c r="E14" s="1"/>
      <c r="F14" s="1"/>
      <c r="G14" s="1"/>
      <c r="H14" s="1"/>
      <c r="I14" s="1"/>
      <c r="J14" s="1"/>
      <c r="K14" s="1"/>
      <c r="L14" s="1"/>
    </row>
    <row r="15" spans="1:12" ht="22.8" x14ac:dyDescent="0.3">
      <c r="A15" s="1"/>
      <c r="B15" s="14" t="s">
        <v>56</v>
      </c>
      <c r="C15" s="19" t="s">
        <v>57</v>
      </c>
      <c r="D15" s="16" t="s">
        <v>58</v>
      </c>
      <c r="E15" s="1"/>
      <c r="F15" s="1"/>
      <c r="G15" s="1"/>
      <c r="H15" s="1"/>
      <c r="I15" s="1"/>
      <c r="J15" s="1"/>
      <c r="K15" s="1"/>
      <c r="L15" s="1"/>
    </row>
    <row r="16" spans="1:12" ht="22.8" x14ac:dyDescent="0.3">
      <c r="A16" s="1"/>
      <c r="B16" s="11" t="s">
        <v>59</v>
      </c>
      <c r="C16" s="18" t="s">
        <v>60</v>
      </c>
      <c r="D16" s="13" t="s">
        <v>61</v>
      </c>
      <c r="E16" s="1"/>
      <c r="F16" s="1"/>
      <c r="G16" s="1"/>
      <c r="H16" s="1"/>
      <c r="I16" s="1"/>
      <c r="J16" s="1"/>
      <c r="K16" s="1"/>
      <c r="L16" s="1"/>
    </row>
    <row r="17" spans="1:12" ht="22.8" x14ac:dyDescent="0.3">
      <c r="A17" s="1"/>
      <c r="B17" s="14" t="s">
        <v>62</v>
      </c>
      <c r="C17" s="19" t="s">
        <v>63</v>
      </c>
      <c r="D17" s="16" t="s">
        <v>61</v>
      </c>
      <c r="E17" s="1"/>
      <c r="F17" s="1"/>
      <c r="G17" s="1"/>
      <c r="H17" s="1"/>
      <c r="I17" s="1"/>
      <c r="J17" s="1"/>
      <c r="K17" s="1"/>
      <c r="L17" s="1"/>
    </row>
    <row r="18" spans="1:12" ht="22.8" x14ac:dyDescent="0.3">
      <c r="A18" s="1"/>
      <c r="B18" s="11" t="s">
        <v>64</v>
      </c>
      <c r="C18" s="18" t="s">
        <v>65</v>
      </c>
      <c r="D18" s="13" t="s">
        <v>66</v>
      </c>
      <c r="E18" s="1"/>
      <c r="F18" s="1"/>
      <c r="G18" s="1"/>
      <c r="H18" s="1"/>
      <c r="I18" s="1"/>
      <c r="J18" s="1"/>
      <c r="K18" s="1"/>
      <c r="L18" s="1"/>
    </row>
    <row r="19" spans="1:12" x14ac:dyDescent="0.3">
      <c r="A19" s="1"/>
      <c r="B19" s="1"/>
      <c r="C19" s="1"/>
      <c r="D19" s="1"/>
      <c r="E19" s="1"/>
      <c r="F19" s="1"/>
      <c r="G19" s="1"/>
      <c r="H19" s="1"/>
      <c r="I19" s="1"/>
      <c r="J19" s="1"/>
      <c r="K19" s="1"/>
      <c r="L19" s="1"/>
    </row>
    <row r="20" spans="1:12" x14ac:dyDescent="0.3">
      <c r="A20" s="1"/>
      <c r="B20" s="1"/>
      <c r="C20" s="1"/>
      <c r="D20" s="1"/>
      <c r="E20" s="1"/>
      <c r="F20" s="1"/>
      <c r="G20" s="1"/>
      <c r="H20" s="1"/>
      <c r="I20" s="1"/>
      <c r="J20" s="1"/>
      <c r="K20" s="1"/>
      <c r="L20" s="1"/>
    </row>
    <row r="21" spans="1:12" x14ac:dyDescent="0.3">
      <c r="A21" s="1"/>
      <c r="B21" s="98" t="s">
        <v>67</v>
      </c>
      <c r="C21" s="74"/>
      <c r="D21" s="74"/>
      <c r="E21" s="74"/>
      <c r="F21" s="74"/>
      <c r="G21" s="74"/>
      <c r="H21" s="74"/>
      <c r="I21" s="1"/>
      <c r="J21" s="1"/>
      <c r="K21" s="1"/>
      <c r="L21" s="1"/>
    </row>
    <row r="22" spans="1:12" ht="36" customHeight="1" x14ac:dyDescent="0.3">
      <c r="A22" s="1"/>
      <c r="B22" s="20" t="s">
        <v>68</v>
      </c>
      <c r="C22" s="20" t="s">
        <v>69</v>
      </c>
      <c r="D22" s="20" t="s">
        <v>70</v>
      </c>
      <c r="E22" s="20" t="s">
        <v>71</v>
      </c>
      <c r="F22" s="20" t="s">
        <v>72</v>
      </c>
      <c r="G22" s="20" t="s">
        <v>73</v>
      </c>
      <c r="H22" s="20" t="s">
        <v>74</v>
      </c>
      <c r="I22" s="1"/>
      <c r="J22" s="1"/>
      <c r="K22" s="1"/>
      <c r="L22" s="1"/>
    </row>
    <row r="23" spans="1:12" ht="26.4" x14ac:dyDescent="0.3">
      <c r="A23" s="1"/>
      <c r="B23" s="21" t="s">
        <v>75</v>
      </c>
      <c r="C23" s="12">
        <v>0.13</v>
      </c>
      <c r="D23" s="12">
        <v>0.16</v>
      </c>
      <c r="E23" s="22">
        <f>(C23-Assumptions!C8)/D23</f>
        <v>0.36250000000000004</v>
      </c>
      <c r="F23" s="21" t="s">
        <v>76</v>
      </c>
      <c r="G23" s="21" t="s">
        <v>77</v>
      </c>
      <c r="H23" s="21" t="s">
        <v>78</v>
      </c>
      <c r="I23" s="1"/>
      <c r="J23" s="1"/>
      <c r="K23" s="1"/>
      <c r="L23" s="1"/>
    </row>
    <row r="24" spans="1:12" ht="26.4" x14ac:dyDescent="0.3">
      <c r="A24" s="1"/>
      <c r="B24" s="23" t="s">
        <v>79</v>
      </c>
      <c r="C24" s="15">
        <v>0.15</v>
      </c>
      <c r="D24" s="15">
        <v>0.21</v>
      </c>
      <c r="E24" s="24">
        <f>(C24-Assumptions!C8)/D24</f>
        <v>0.37142857142857144</v>
      </c>
      <c r="F24" s="23" t="s">
        <v>76</v>
      </c>
      <c r="G24" s="23" t="s">
        <v>77</v>
      </c>
      <c r="H24" s="23" t="s">
        <v>78</v>
      </c>
      <c r="I24" s="1"/>
      <c r="J24" s="1"/>
      <c r="K24" s="1"/>
      <c r="L24" s="1"/>
    </row>
    <row r="25" spans="1:12" ht="26.4" x14ac:dyDescent="0.3">
      <c r="A25" s="1"/>
      <c r="B25" s="21" t="s">
        <v>80</v>
      </c>
      <c r="C25" s="12">
        <v>0.13500000000000001</v>
      </c>
      <c r="D25" s="12">
        <v>0.18</v>
      </c>
      <c r="E25" s="22">
        <f>(C25-Assumptions!C8)/D25</f>
        <v>0.35000000000000009</v>
      </c>
      <c r="F25" s="21" t="s">
        <v>76</v>
      </c>
      <c r="G25" s="21" t="s">
        <v>77</v>
      </c>
      <c r="H25" s="21" t="s">
        <v>78</v>
      </c>
      <c r="I25" s="1"/>
      <c r="J25" s="1"/>
      <c r="K25" s="1"/>
      <c r="L25" s="1"/>
    </row>
    <row r="26" spans="1:12" ht="26.4" x14ac:dyDescent="0.3">
      <c r="A26" s="1"/>
      <c r="B26" s="23" t="s">
        <v>81</v>
      </c>
      <c r="C26" s="15">
        <v>0.17</v>
      </c>
      <c r="D26" s="15">
        <v>0.22</v>
      </c>
      <c r="E26" s="24">
        <f>(C26-Assumptions!C8)/D26</f>
        <v>0.44545454545454555</v>
      </c>
      <c r="F26" s="23" t="s">
        <v>82</v>
      </c>
      <c r="G26" s="23" t="s">
        <v>83</v>
      </c>
      <c r="H26" s="23" t="s">
        <v>84</v>
      </c>
      <c r="I26" s="1"/>
      <c r="J26" s="1"/>
      <c r="K26" s="1"/>
      <c r="L26" s="1"/>
    </row>
    <row r="27" spans="1:12" ht="26.4" x14ac:dyDescent="0.3">
      <c r="A27" s="1"/>
      <c r="B27" s="21" t="s">
        <v>85</v>
      </c>
      <c r="C27" s="12">
        <v>0.18</v>
      </c>
      <c r="D27" s="12">
        <v>0.2</v>
      </c>
      <c r="E27" s="22">
        <f>(C27-Assumptions!C8)/D27</f>
        <v>0.53999999999999992</v>
      </c>
      <c r="F27" s="21" t="s">
        <v>86</v>
      </c>
      <c r="G27" s="21" t="s">
        <v>87</v>
      </c>
      <c r="H27" s="21" t="s">
        <v>88</v>
      </c>
      <c r="I27" s="1"/>
      <c r="J27" s="1"/>
      <c r="K27" s="1"/>
      <c r="L27" s="1"/>
    </row>
    <row r="28" spans="1:12" ht="26.4" x14ac:dyDescent="0.3">
      <c r="A28" s="1"/>
      <c r="B28" s="23" t="s">
        <v>89</v>
      </c>
      <c r="C28" s="15">
        <v>7.4999999999999997E-2</v>
      </c>
      <c r="D28" s="15">
        <v>0.03</v>
      </c>
      <c r="E28" s="24">
        <f>(C28-Assumptions!C8)/D28</f>
        <v>0.10000000000000009</v>
      </c>
      <c r="F28" s="23" t="s">
        <v>90</v>
      </c>
      <c r="G28" s="23" t="s">
        <v>91</v>
      </c>
      <c r="H28" s="23" t="s">
        <v>92</v>
      </c>
      <c r="I28" s="1"/>
      <c r="J28" s="1"/>
      <c r="K28" s="1"/>
      <c r="L28" s="1"/>
    </row>
    <row r="29" spans="1:12" ht="26.4" x14ac:dyDescent="0.3">
      <c r="A29" s="1"/>
      <c r="B29" s="21" t="s">
        <v>93</v>
      </c>
      <c r="C29" s="12">
        <v>8.5000000000000006E-2</v>
      </c>
      <c r="D29" s="12">
        <v>0.05</v>
      </c>
      <c r="E29" s="22">
        <f>(C29-Assumptions!C8)/D29</f>
        <v>0.26000000000000023</v>
      </c>
      <c r="F29" s="21" t="s">
        <v>90</v>
      </c>
      <c r="G29" s="21" t="s">
        <v>77</v>
      </c>
      <c r="H29" s="21" t="s">
        <v>92</v>
      </c>
      <c r="I29" s="1"/>
      <c r="J29" s="1"/>
      <c r="K29" s="1"/>
      <c r="L29" s="1"/>
    </row>
    <row r="30" spans="1:12" ht="26.4" x14ac:dyDescent="0.3">
      <c r="A30" s="1"/>
      <c r="B30" s="23" t="s">
        <v>94</v>
      </c>
      <c r="C30" s="15">
        <v>7.1999999999999995E-2</v>
      </c>
      <c r="D30" s="15">
        <v>0.04</v>
      </c>
      <c r="E30" s="24">
        <f>(C30-Assumptions!C8)/D30</f>
        <v>0</v>
      </c>
      <c r="F30" s="23" t="s">
        <v>95</v>
      </c>
      <c r="G30" s="23" t="s">
        <v>96</v>
      </c>
      <c r="H30" s="23" t="s">
        <v>97</v>
      </c>
      <c r="I30" s="1"/>
      <c r="J30" s="1"/>
      <c r="K30" s="1"/>
      <c r="L30" s="1"/>
    </row>
    <row r="31" spans="1:12" ht="39.6" x14ac:dyDescent="0.3">
      <c r="A31" s="1"/>
      <c r="B31" s="21" t="s">
        <v>98</v>
      </c>
      <c r="C31" s="12">
        <v>0.09</v>
      </c>
      <c r="D31" s="12">
        <v>0.12</v>
      </c>
      <c r="E31" s="22">
        <f>(C31-Assumptions!C8)/D31</f>
        <v>0.15000000000000002</v>
      </c>
      <c r="F31" s="21" t="s">
        <v>99</v>
      </c>
      <c r="G31" s="21" t="s">
        <v>96</v>
      </c>
      <c r="H31" s="21" t="s">
        <v>100</v>
      </c>
      <c r="I31" s="1"/>
      <c r="J31" s="1"/>
      <c r="K31" s="1"/>
      <c r="L31" s="1"/>
    </row>
    <row r="32" spans="1:12" ht="26.4" x14ac:dyDescent="0.3">
      <c r="A32" s="1"/>
      <c r="B32" s="23" t="s">
        <v>101</v>
      </c>
      <c r="C32" s="15">
        <v>0.1</v>
      </c>
      <c r="D32" s="15">
        <v>0.13</v>
      </c>
      <c r="E32" s="24">
        <f>(C32-Assumptions!C8)/D32</f>
        <v>0.21538461538461545</v>
      </c>
      <c r="F32" s="23" t="s">
        <v>102</v>
      </c>
      <c r="G32" s="23" t="s">
        <v>103</v>
      </c>
      <c r="H32" s="23" t="s">
        <v>104</v>
      </c>
      <c r="I32" s="1"/>
      <c r="J32" s="1"/>
      <c r="K32" s="1"/>
      <c r="L32" s="1"/>
    </row>
    <row r="33" spans="1:12" ht="26.4" x14ac:dyDescent="0.3">
      <c r="A33" s="1"/>
      <c r="B33" s="21" t="s">
        <v>105</v>
      </c>
      <c r="C33" s="12">
        <v>0.12</v>
      </c>
      <c r="D33" s="12">
        <v>0.15</v>
      </c>
      <c r="E33" s="22">
        <f>(C33-Assumptions!C8)/D33</f>
        <v>0.32</v>
      </c>
      <c r="F33" s="21" t="s">
        <v>76</v>
      </c>
      <c r="G33" s="21" t="s">
        <v>77</v>
      </c>
      <c r="H33" s="21" t="s">
        <v>106</v>
      </c>
      <c r="I33" s="1"/>
      <c r="J33" s="1"/>
      <c r="K33" s="1"/>
      <c r="L33" s="1"/>
    </row>
    <row r="34" spans="1:12" x14ac:dyDescent="0.3">
      <c r="A34" s="1"/>
      <c r="B34" s="23" t="s">
        <v>107</v>
      </c>
      <c r="C34" s="15">
        <v>6.7000000000000004E-2</v>
      </c>
      <c r="D34" s="15">
        <v>5.0000000000000001E-3</v>
      </c>
      <c r="E34" s="24">
        <f>(C34-Assumptions!C8)/D34</f>
        <v>-0.99999999999999811</v>
      </c>
      <c r="F34" s="23" t="s">
        <v>108</v>
      </c>
      <c r="G34" s="23" t="s">
        <v>91</v>
      </c>
      <c r="H34" s="23" t="s">
        <v>97</v>
      </c>
      <c r="I34" s="1"/>
      <c r="J34" s="1"/>
      <c r="K34" s="1"/>
      <c r="L34" s="1"/>
    </row>
    <row r="35" spans="1:12" x14ac:dyDescent="0.3">
      <c r="A35" s="1"/>
      <c r="B35" s="1"/>
      <c r="C35" s="1"/>
      <c r="D35" s="1"/>
      <c r="E35" s="1"/>
      <c r="F35" s="1"/>
      <c r="G35" s="1"/>
      <c r="H35" s="1"/>
      <c r="I35" s="1"/>
      <c r="J35" s="1"/>
      <c r="K35" s="1"/>
      <c r="L35" s="1"/>
    </row>
    <row r="36" spans="1:12" x14ac:dyDescent="0.3">
      <c r="A36" s="1"/>
      <c r="B36" s="97" t="s">
        <v>109</v>
      </c>
      <c r="C36" s="74"/>
      <c r="D36" s="74"/>
      <c r="E36" s="74"/>
      <c r="F36" s="74"/>
      <c r="G36" s="74"/>
      <c r="H36" s="74"/>
      <c r="I36" s="1"/>
      <c r="J36" s="1"/>
      <c r="K36" s="1"/>
      <c r="L36" s="1"/>
    </row>
    <row r="37" spans="1:12" x14ac:dyDescent="0.3">
      <c r="A37" s="1"/>
      <c r="B37" s="1"/>
      <c r="C37" s="1"/>
      <c r="D37" s="1"/>
      <c r="E37" s="1"/>
      <c r="F37" s="1"/>
      <c r="G37" s="1"/>
      <c r="H37" s="1"/>
      <c r="I37" s="1"/>
      <c r="J37" s="1"/>
      <c r="K37" s="1"/>
      <c r="L37" s="1"/>
    </row>
    <row r="38" spans="1:12" x14ac:dyDescent="0.3">
      <c r="A38" s="1"/>
      <c r="B38" s="98" t="s">
        <v>110</v>
      </c>
      <c r="C38" s="74"/>
      <c r="D38" s="74"/>
      <c r="E38" s="74"/>
      <c r="F38" s="74"/>
      <c r="G38" s="74"/>
      <c r="H38" s="74"/>
      <c r="I38" s="1"/>
      <c r="J38" s="1"/>
      <c r="K38" s="1"/>
      <c r="L38" s="1"/>
    </row>
    <row r="39" spans="1:12" x14ac:dyDescent="0.3">
      <c r="A39" s="1"/>
      <c r="B39" s="20" t="s">
        <v>68</v>
      </c>
      <c r="C39" s="20" t="s">
        <v>111</v>
      </c>
      <c r="D39" s="20" t="s">
        <v>112</v>
      </c>
      <c r="E39" s="20" t="s">
        <v>113</v>
      </c>
      <c r="F39" s="20" t="s">
        <v>114</v>
      </c>
      <c r="G39" s="20" t="s">
        <v>115</v>
      </c>
      <c r="H39" s="20" t="s">
        <v>116</v>
      </c>
      <c r="I39" s="1"/>
      <c r="J39" s="1"/>
      <c r="K39" s="1"/>
      <c r="L39" s="1"/>
    </row>
    <row r="40" spans="1:12" x14ac:dyDescent="0.3">
      <c r="A40" s="1"/>
      <c r="B40" s="7" t="s">
        <v>111</v>
      </c>
      <c r="C40" s="25">
        <v>1</v>
      </c>
      <c r="D40" s="26">
        <v>0.85</v>
      </c>
      <c r="E40" s="27">
        <v>-0.1</v>
      </c>
      <c r="F40" s="22">
        <v>0.05</v>
      </c>
      <c r="G40" s="22">
        <v>0.45</v>
      </c>
      <c r="H40" s="26">
        <v>0.7</v>
      </c>
      <c r="I40" s="1"/>
      <c r="J40" s="1"/>
      <c r="K40" s="1"/>
      <c r="L40" s="1"/>
    </row>
    <row r="41" spans="1:12" x14ac:dyDescent="0.3">
      <c r="A41" s="1"/>
      <c r="B41" s="7" t="s">
        <v>112</v>
      </c>
      <c r="C41" s="26">
        <v>0.85</v>
      </c>
      <c r="D41" s="25">
        <v>1</v>
      </c>
      <c r="E41" s="27">
        <v>-0.15</v>
      </c>
      <c r="F41" s="22">
        <v>0.02</v>
      </c>
      <c r="G41" s="22">
        <v>0.4</v>
      </c>
      <c r="H41" s="22">
        <v>0.65</v>
      </c>
      <c r="I41" s="1"/>
      <c r="J41" s="1"/>
      <c r="K41" s="1"/>
      <c r="L41" s="1"/>
    </row>
    <row r="42" spans="1:12" x14ac:dyDescent="0.3">
      <c r="A42" s="1"/>
      <c r="B42" s="7" t="s">
        <v>113</v>
      </c>
      <c r="C42" s="27">
        <v>-0.1</v>
      </c>
      <c r="D42" s="27">
        <v>-0.15</v>
      </c>
      <c r="E42" s="25">
        <v>1</v>
      </c>
      <c r="F42" s="22">
        <v>0.15</v>
      </c>
      <c r="G42" s="22">
        <v>0.2</v>
      </c>
      <c r="H42" s="22">
        <v>0.05</v>
      </c>
      <c r="I42" s="1"/>
      <c r="J42" s="1"/>
      <c r="K42" s="1"/>
      <c r="L42" s="1"/>
    </row>
    <row r="43" spans="1:12" x14ac:dyDescent="0.3">
      <c r="A43" s="1"/>
      <c r="B43" s="7" t="s">
        <v>114</v>
      </c>
      <c r="C43" s="22">
        <v>0.05</v>
      </c>
      <c r="D43" s="22">
        <v>0.02</v>
      </c>
      <c r="E43" s="22">
        <v>0.15</v>
      </c>
      <c r="F43" s="25">
        <v>1</v>
      </c>
      <c r="G43" s="22">
        <v>0.25</v>
      </c>
      <c r="H43" s="27">
        <v>-0.05</v>
      </c>
      <c r="I43" s="1"/>
      <c r="J43" s="1"/>
      <c r="K43" s="1"/>
      <c r="L43" s="1"/>
    </row>
    <row r="44" spans="1:12" x14ac:dyDescent="0.3">
      <c r="A44" s="1"/>
      <c r="B44" s="7" t="s">
        <v>115</v>
      </c>
      <c r="C44" s="22">
        <v>0.45</v>
      </c>
      <c r="D44" s="22">
        <v>0.4</v>
      </c>
      <c r="E44" s="22">
        <v>0.2</v>
      </c>
      <c r="F44" s="22">
        <v>0.25</v>
      </c>
      <c r="G44" s="25">
        <v>1</v>
      </c>
      <c r="H44" s="22">
        <v>0.35</v>
      </c>
      <c r="I44" s="1"/>
      <c r="J44" s="1"/>
      <c r="K44" s="1"/>
      <c r="L44" s="1"/>
    </row>
    <row r="45" spans="1:12" x14ac:dyDescent="0.3">
      <c r="A45" s="1"/>
      <c r="B45" s="7" t="s">
        <v>116</v>
      </c>
      <c r="C45" s="26">
        <v>0.7</v>
      </c>
      <c r="D45" s="22">
        <v>0.65</v>
      </c>
      <c r="E45" s="22">
        <v>0.05</v>
      </c>
      <c r="F45" s="27">
        <v>-0.05</v>
      </c>
      <c r="G45" s="22">
        <v>0.35</v>
      </c>
      <c r="H45" s="25">
        <v>1</v>
      </c>
      <c r="I45" s="1"/>
      <c r="J45" s="1"/>
      <c r="K45" s="1"/>
      <c r="L45" s="1"/>
    </row>
    <row r="46" spans="1:12" x14ac:dyDescent="0.3">
      <c r="A46" s="1"/>
      <c r="B46" s="1"/>
      <c r="C46" s="1"/>
      <c r="D46" s="1"/>
      <c r="E46" s="1"/>
      <c r="F46" s="1"/>
      <c r="G46" s="1"/>
      <c r="H46" s="1"/>
      <c r="I46" s="1"/>
      <c r="J46" s="1"/>
      <c r="K46" s="1"/>
      <c r="L46" s="1"/>
    </row>
    <row r="47" spans="1:12" x14ac:dyDescent="0.3">
      <c r="A47" s="1"/>
      <c r="B47" s="1"/>
      <c r="C47" s="1"/>
      <c r="D47" s="1"/>
      <c r="E47" s="1"/>
      <c r="F47" s="1"/>
      <c r="G47" s="1"/>
      <c r="H47" s="1"/>
      <c r="I47" s="1"/>
      <c r="J47" s="1"/>
      <c r="K47" s="1"/>
      <c r="L47" s="1"/>
    </row>
    <row r="48" spans="1:12" x14ac:dyDescent="0.3">
      <c r="A48" s="1"/>
      <c r="B48" s="1"/>
      <c r="C48" s="1"/>
      <c r="D48" s="1"/>
      <c r="E48" s="1"/>
      <c r="F48" s="1"/>
      <c r="G48" s="1"/>
      <c r="H48" s="1"/>
      <c r="I48" s="1"/>
      <c r="J48" s="1"/>
      <c r="K48" s="1"/>
      <c r="L48" s="1"/>
    </row>
    <row r="49" spans="1:12" x14ac:dyDescent="0.3">
      <c r="A49" s="1"/>
      <c r="B49" s="1"/>
      <c r="C49" s="1"/>
      <c r="D49" s="1"/>
      <c r="E49" s="1"/>
      <c r="F49" s="1"/>
      <c r="G49" s="1"/>
      <c r="H49" s="1"/>
      <c r="I49" s="1"/>
      <c r="J49" s="1"/>
      <c r="K49" s="1"/>
      <c r="L49" s="1"/>
    </row>
    <row r="50" spans="1:12" x14ac:dyDescent="0.3">
      <c r="A50" s="1"/>
      <c r="B50" s="1"/>
      <c r="C50" s="1"/>
      <c r="D50" s="1"/>
      <c r="E50" s="1"/>
      <c r="F50" s="1"/>
      <c r="G50" s="1"/>
      <c r="H50" s="1"/>
      <c r="I50" s="1"/>
      <c r="J50" s="1"/>
      <c r="K50" s="1"/>
      <c r="L50" s="1"/>
    </row>
    <row r="51" spans="1:12" x14ac:dyDescent="0.3">
      <c r="A51" s="1"/>
      <c r="B51" s="1"/>
      <c r="C51" s="1"/>
      <c r="D51" s="1"/>
      <c r="E51" s="1"/>
      <c r="F51" s="1"/>
      <c r="G51" s="1"/>
      <c r="H51" s="1"/>
      <c r="I51" s="1"/>
      <c r="J51" s="1"/>
      <c r="K51" s="1"/>
      <c r="L51" s="1"/>
    </row>
    <row r="52" spans="1:12" x14ac:dyDescent="0.3">
      <c r="A52" s="1"/>
      <c r="B52" s="1"/>
      <c r="C52" s="1"/>
      <c r="D52" s="1"/>
      <c r="E52" s="1"/>
      <c r="F52" s="1"/>
      <c r="G52" s="1"/>
      <c r="H52" s="1"/>
      <c r="I52" s="1"/>
      <c r="J52" s="1"/>
      <c r="K52" s="1"/>
      <c r="L52" s="1"/>
    </row>
    <row r="53" spans="1:12" x14ac:dyDescent="0.3">
      <c r="A53" s="1"/>
      <c r="B53" s="1"/>
      <c r="C53" s="1"/>
      <c r="D53" s="1"/>
      <c r="E53" s="1"/>
      <c r="F53" s="1"/>
      <c r="G53" s="1"/>
      <c r="H53" s="1"/>
      <c r="I53" s="1"/>
      <c r="J53" s="1"/>
      <c r="K53" s="1"/>
      <c r="L53" s="1"/>
    </row>
    <row r="54" spans="1:12" x14ac:dyDescent="0.3">
      <c r="A54" s="1"/>
      <c r="B54" s="1"/>
      <c r="C54" s="1"/>
      <c r="D54" s="1"/>
      <c r="E54" s="1"/>
      <c r="F54" s="1"/>
      <c r="G54" s="1"/>
      <c r="H54" s="1"/>
      <c r="I54" s="1"/>
      <c r="J54" s="1"/>
      <c r="K54" s="1"/>
      <c r="L54" s="1"/>
    </row>
    <row r="55" spans="1:12" x14ac:dyDescent="0.3">
      <c r="A55" s="1"/>
      <c r="B55" s="1"/>
      <c r="C55" s="1"/>
      <c r="D55" s="1"/>
      <c r="E55" s="1"/>
      <c r="F55" s="1"/>
      <c r="G55" s="1"/>
      <c r="H55" s="1"/>
      <c r="I55" s="1"/>
      <c r="J55" s="1"/>
      <c r="K55" s="1"/>
      <c r="L55" s="1"/>
    </row>
    <row r="56" spans="1:12" x14ac:dyDescent="0.3">
      <c r="A56" s="1"/>
      <c r="B56" s="1"/>
      <c r="C56" s="1"/>
      <c r="D56" s="1"/>
      <c r="E56" s="1"/>
      <c r="F56" s="1"/>
      <c r="G56" s="1"/>
      <c r="H56" s="1"/>
      <c r="I56" s="1"/>
      <c r="J56" s="1"/>
      <c r="K56" s="1"/>
      <c r="L56" s="1"/>
    </row>
    <row r="57" spans="1:12" x14ac:dyDescent="0.3">
      <c r="A57" s="1"/>
      <c r="B57" s="1"/>
      <c r="C57" s="1"/>
      <c r="D57" s="1"/>
      <c r="E57" s="1"/>
      <c r="F57" s="1"/>
      <c r="G57" s="1"/>
      <c r="H57" s="1"/>
      <c r="I57" s="1"/>
      <c r="J57" s="1"/>
      <c r="K57" s="1"/>
      <c r="L57" s="1"/>
    </row>
    <row r="58" spans="1:12" x14ac:dyDescent="0.3">
      <c r="A58" s="1"/>
      <c r="B58" s="1"/>
      <c r="C58" s="1"/>
      <c r="D58" s="1"/>
      <c r="E58" s="1"/>
      <c r="F58" s="1"/>
      <c r="G58" s="1"/>
      <c r="H58" s="1"/>
      <c r="I58" s="1"/>
      <c r="J58" s="1"/>
      <c r="K58" s="1"/>
      <c r="L58" s="1"/>
    </row>
    <row r="59" spans="1:12" x14ac:dyDescent="0.3">
      <c r="A59" s="1"/>
      <c r="B59" s="1"/>
      <c r="C59" s="1"/>
      <c r="D59" s="1"/>
      <c r="E59" s="1"/>
      <c r="F59" s="1"/>
      <c r="G59" s="1"/>
      <c r="H59" s="1"/>
      <c r="I59" s="1"/>
      <c r="J59" s="1"/>
      <c r="K59" s="1"/>
      <c r="L59" s="1"/>
    </row>
    <row r="60" spans="1:12" x14ac:dyDescent="0.3">
      <c r="A60" s="1"/>
      <c r="B60" s="1"/>
      <c r="C60" s="1"/>
      <c r="D60" s="1"/>
      <c r="E60" s="1"/>
      <c r="F60" s="1"/>
      <c r="G60" s="1"/>
      <c r="H60" s="1"/>
      <c r="I60" s="1"/>
      <c r="J60" s="1"/>
      <c r="K60" s="1"/>
      <c r="L60" s="1"/>
    </row>
    <row r="61" spans="1:12" x14ac:dyDescent="0.3">
      <c r="A61" s="1"/>
      <c r="B61" s="1"/>
      <c r="C61" s="1"/>
      <c r="D61" s="1"/>
      <c r="E61" s="1"/>
      <c r="F61" s="1"/>
      <c r="G61" s="1"/>
      <c r="H61" s="1"/>
      <c r="I61" s="1"/>
      <c r="J61" s="1"/>
      <c r="K61" s="1"/>
      <c r="L61" s="1"/>
    </row>
    <row r="62" spans="1:12" x14ac:dyDescent="0.3">
      <c r="A62" s="1"/>
      <c r="B62" s="1"/>
      <c r="C62" s="1"/>
      <c r="D62" s="1"/>
      <c r="E62" s="1"/>
      <c r="F62" s="1"/>
      <c r="G62" s="1"/>
      <c r="H62" s="1"/>
      <c r="I62" s="1"/>
      <c r="J62" s="1"/>
      <c r="K62" s="1"/>
      <c r="L62" s="1"/>
    </row>
    <row r="63" spans="1:12" x14ac:dyDescent="0.3">
      <c r="A63" s="1"/>
      <c r="B63" s="1"/>
      <c r="C63" s="1"/>
      <c r="D63" s="1"/>
      <c r="E63" s="1"/>
      <c r="F63" s="1"/>
      <c r="G63" s="1"/>
      <c r="H63" s="1"/>
      <c r="I63" s="1"/>
      <c r="J63" s="1"/>
      <c r="K63" s="1"/>
      <c r="L63" s="1"/>
    </row>
    <row r="64" spans="1:12" x14ac:dyDescent="0.3">
      <c r="A64" s="1"/>
      <c r="B64" s="1"/>
      <c r="C64" s="1"/>
      <c r="D64" s="1"/>
      <c r="E64" s="1"/>
      <c r="F64" s="1"/>
      <c r="G64" s="1"/>
      <c r="H64" s="1"/>
      <c r="I64" s="1"/>
      <c r="J64" s="1"/>
      <c r="K64" s="1"/>
      <c r="L64" s="1"/>
    </row>
    <row r="65" spans="1:12" x14ac:dyDescent="0.3">
      <c r="A65" s="1"/>
      <c r="B65" s="1"/>
      <c r="C65" s="1"/>
      <c r="D65" s="1"/>
      <c r="E65" s="1"/>
      <c r="F65" s="1"/>
      <c r="G65" s="1"/>
      <c r="H65" s="1"/>
      <c r="I65" s="1"/>
      <c r="J65" s="1"/>
      <c r="K65" s="1"/>
      <c r="L65" s="1"/>
    </row>
    <row r="66" spans="1:12" x14ac:dyDescent="0.3">
      <c r="A66" s="1"/>
      <c r="B66" s="1"/>
      <c r="C66" s="1"/>
      <c r="D66" s="1"/>
      <c r="E66" s="1"/>
      <c r="F66" s="1"/>
      <c r="G66" s="1"/>
      <c r="H66" s="1"/>
      <c r="I66" s="1"/>
      <c r="J66" s="1"/>
      <c r="K66" s="1"/>
      <c r="L66" s="1"/>
    </row>
    <row r="67" spans="1:12" x14ac:dyDescent="0.3">
      <c r="A67" s="1"/>
      <c r="B67" s="1"/>
      <c r="C67" s="1"/>
      <c r="D67" s="1"/>
      <c r="E67" s="1"/>
      <c r="F67" s="1"/>
      <c r="G67" s="1"/>
      <c r="H67" s="1"/>
      <c r="I67" s="1"/>
      <c r="J67" s="1"/>
      <c r="K67" s="1"/>
      <c r="L67" s="1"/>
    </row>
    <row r="68" spans="1:12" x14ac:dyDescent="0.3">
      <c r="A68" s="1"/>
      <c r="B68" s="1"/>
      <c r="C68" s="1"/>
      <c r="D68" s="1"/>
      <c r="E68" s="1"/>
      <c r="F68" s="1"/>
      <c r="G68" s="1"/>
      <c r="H68" s="1"/>
      <c r="I68" s="1"/>
      <c r="J68" s="1"/>
      <c r="K68" s="1"/>
      <c r="L68" s="1"/>
    </row>
    <row r="69" spans="1:12" x14ac:dyDescent="0.3">
      <c r="A69" s="1"/>
      <c r="B69" s="1"/>
      <c r="C69" s="1"/>
      <c r="D69" s="1"/>
      <c r="E69" s="1"/>
      <c r="F69" s="1"/>
      <c r="G69" s="1"/>
      <c r="H69" s="1"/>
      <c r="I69" s="1"/>
      <c r="J69" s="1"/>
      <c r="K69" s="1"/>
      <c r="L69" s="1"/>
    </row>
    <row r="70" spans="1:12" x14ac:dyDescent="0.3">
      <c r="A70" s="1"/>
      <c r="B70" s="1"/>
      <c r="C70" s="1"/>
      <c r="D70" s="1"/>
      <c r="E70" s="1"/>
      <c r="F70" s="1"/>
      <c r="G70" s="1"/>
      <c r="H70" s="1"/>
      <c r="I70" s="1"/>
      <c r="J70" s="1"/>
      <c r="K70" s="1"/>
      <c r="L70" s="1"/>
    </row>
    <row r="71" spans="1:12" x14ac:dyDescent="0.3">
      <c r="A71" s="1"/>
      <c r="B71" s="1"/>
      <c r="C71" s="1"/>
      <c r="D71" s="1"/>
      <c r="E71" s="1"/>
      <c r="F71" s="1"/>
      <c r="G71" s="1"/>
      <c r="H71" s="1"/>
      <c r="I71" s="1"/>
      <c r="J71" s="1"/>
      <c r="K71" s="1"/>
      <c r="L71" s="1"/>
    </row>
    <row r="72" spans="1:12" x14ac:dyDescent="0.3">
      <c r="A72" s="1"/>
      <c r="B72" s="1"/>
      <c r="C72" s="1"/>
      <c r="D72" s="1"/>
      <c r="E72" s="1"/>
      <c r="F72" s="1"/>
      <c r="G72" s="1"/>
      <c r="H72" s="1"/>
      <c r="I72" s="1"/>
      <c r="J72" s="1"/>
      <c r="K72" s="1"/>
      <c r="L72" s="1"/>
    </row>
    <row r="73" spans="1:12" x14ac:dyDescent="0.3">
      <c r="A73" s="1"/>
      <c r="B73" s="1"/>
      <c r="C73" s="1"/>
      <c r="D73" s="1"/>
      <c r="E73" s="1"/>
      <c r="F73" s="1"/>
      <c r="G73" s="1"/>
      <c r="H73" s="1"/>
      <c r="I73" s="1"/>
      <c r="J73" s="1"/>
      <c r="K73" s="1"/>
      <c r="L73" s="1"/>
    </row>
    <row r="74" spans="1:12" x14ac:dyDescent="0.3">
      <c r="A74" s="1"/>
      <c r="B74" s="1"/>
      <c r="C74" s="1"/>
      <c r="D74" s="1"/>
      <c r="E74" s="1"/>
      <c r="F74" s="1"/>
      <c r="G74" s="1"/>
      <c r="H74" s="1"/>
      <c r="I74" s="1"/>
      <c r="J74" s="1"/>
      <c r="K74" s="1"/>
      <c r="L74" s="1"/>
    </row>
    <row r="75" spans="1:12" x14ac:dyDescent="0.3">
      <c r="A75" s="1"/>
      <c r="B75" s="1"/>
      <c r="C75" s="1"/>
      <c r="D75" s="1"/>
      <c r="E75" s="1"/>
      <c r="F75" s="1"/>
      <c r="G75" s="1"/>
      <c r="H75" s="1"/>
      <c r="I75" s="1"/>
      <c r="J75" s="1"/>
      <c r="K75" s="1"/>
      <c r="L75" s="1"/>
    </row>
    <row r="76" spans="1:12" x14ac:dyDescent="0.3">
      <c r="A76" s="1"/>
      <c r="B76" s="1"/>
      <c r="C76" s="1"/>
      <c r="D76" s="1"/>
      <c r="E76" s="1"/>
      <c r="F76" s="1"/>
      <c r="G76" s="1"/>
      <c r="H76" s="1"/>
      <c r="I76" s="1"/>
      <c r="J76" s="1"/>
      <c r="K76" s="1"/>
      <c r="L76" s="1"/>
    </row>
    <row r="77" spans="1:12" x14ac:dyDescent="0.3">
      <c r="A77" s="1"/>
      <c r="B77" s="1"/>
      <c r="C77" s="1"/>
      <c r="D77" s="1"/>
      <c r="E77" s="1"/>
      <c r="F77" s="1"/>
      <c r="G77" s="1"/>
      <c r="H77" s="1"/>
      <c r="I77" s="1"/>
      <c r="J77" s="1"/>
      <c r="K77" s="1"/>
      <c r="L77" s="1"/>
    </row>
    <row r="78" spans="1:12" x14ac:dyDescent="0.3">
      <c r="A78" s="1"/>
      <c r="B78" s="1"/>
      <c r="C78" s="1"/>
      <c r="D78" s="1"/>
      <c r="E78" s="1"/>
      <c r="F78" s="1"/>
      <c r="G78" s="1"/>
      <c r="H78" s="1"/>
      <c r="I78" s="1"/>
      <c r="J78" s="1"/>
      <c r="K78" s="1"/>
      <c r="L78" s="1"/>
    </row>
    <row r="79" spans="1:12" x14ac:dyDescent="0.3">
      <c r="A79" s="1"/>
      <c r="B79" s="1"/>
      <c r="C79" s="1"/>
      <c r="D79" s="1"/>
      <c r="E79" s="1"/>
      <c r="F79" s="1"/>
      <c r="G79" s="1"/>
      <c r="H79" s="1"/>
      <c r="I79" s="1"/>
      <c r="J79" s="1"/>
      <c r="K79" s="1"/>
      <c r="L79" s="1"/>
    </row>
    <row r="80" spans="1:12" x14ac:dyDescent="0.3">
      <c r="A80" s="1"/>
      <c r="B80" s="1"/>
      <c r="C80" s="1"/>
      <c r="D80" s="1"/>
      <c r="E80" s="1"/>
      <c r="F80" s="1"/>
      <c r="G80" s="1"/>
      <c r="H80" s="1"/>
      <c r="I80" s="1"/>
      <c r="J80" s="1"/>
      <c r="K80" s="1"/>
      <c r="L80" s="1"/>
    </row>
  </sheetData>
  <mergeCells count="5">
    <mergeCell ref="B36:H36"/>
    <mergeCell ref="B21:H21"/>
    <mergeCell ref="B38:H38"/>
    <mergeCell ref="B2:H4"/>
    <mergeCell ref="B6:G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topLeftCell="A30" workbookViewId="0">
      <selection activeCell="K54" sqref="K54"/>
    </sheetView>
  </sheetViews>
  <sheetFormatPr defaultRowHeight="14.4" x14ac:dyDescent="0.3"/>
  <cols>
    <col min="1" max="1" width="3" customWidth="1"/>
    <col min="2" max="2" width="32" customWidth="1"/>
    <col min="3" max="3" width="18" customWidth="1"/>
    <col min="4" max="4" width="25.109375" customWidth="1"/>
    <col min="5" max="7" width="18" customWidth="1"/>
    <col min="8" max="9" width="22" customWidth="1"/>
  </cols>
  <sheetData>
    <row r="1" spans="1:14" x14ac:dyDescent="0.3">
      <c r="A1" s="1"/>
      <c r="B1" s="1"/>
      <c r="C1" s="1"/>
      <c r="D1" s="1"/>
      <c r="E1" s="1"/>
      <c r="F1" s="1"/>
      <c r="G1" s="1"/>
      <c r="H1" s="1"/>
      <c r="I1" s="1"/>
      <c r="J1" s="1"/>
      <c r="K1" s="1"/>
      <c r="L1" s="1"/>
      <c r="M1" s="1"/>
      <c r="N1" s="1"/>
    </row>
    <row r="2" spans="1:14" x14ac:dyDescent="0.3">
      <c r="A2" s="2"/>
      <c r="B2" s="100" t="s">
        <v>117</v>
      </c>
      <c r="C2" s="74"/>
      <c r="D2" s="74"/>
      <c r="E2" s="74"/>
      <c r="F2" s="74"/>
      <c r="G2" s="74"/>
      <c r="H2" s="74"/>
      <c r="I2" s="74"/>
      <c r="J2" s="1"/>
      <c r="K2" s="1"/>
      <c r="L2" s="1"/>
      <c r="M2" s="1"/>
      <c r="N2" s="1"/>
    </row>
    <row r="3" spans="1:14" x14ac:dyDescent="0.3">
      <c r="A3" s="2"/>
      <c r="B3" s="74"/>
      <c r="C3" s="74"/>
      <c r="D3" s="74"/>
      <c r="E3" s="74"/>
      <c r="F3" s="74"/>
      <c r="G3" s="74"/>
      <c r="H3" s="74"/>
      <c r="I3" s="74"/>
      <c r="J3" s="1"/>
      <c r="K3" s="1"/>
      <c r="L3" s="1"/>
      <c r="M3" s="1"/>
      <c r="N3" s="1"/>
    </row>
    <row r="4" spans="1:14" x14ac:dyDescent="0.3">
      <c r="A4" s="2"/>
      <c r="B4" s="101" t="s">
        <v>118</v>
      </c>
      <c r="C4" s="74"/>
      <c r="D4" s="74"/>
      <c r="E4" s="74"/>
      <c r="F4" s="74"/>
      <c r="G4" s="74"/>
      <c r="H4" s="74"/>
      <c r="I4" s="74"/>
      <c r="J4" s="1"/>
      <c r="K4" s="1"/>
      <c r="L4" s="1"/>
      <c r="M4" s="1"/>
      <c r="N4" s="1"/>
    </row>
    <row r="5" spans="1:14" x14ac:dyDescent="0.3">
      <c r="A5" s="2"/>
      <c r="B5" s="74"/>
      <c r="C5" s="74"/>
      <c r="D5" s="74"/>
      <c r="E5" s="74"/>
      <c r="F5" s="74"/>
      <c r="G5" s="74"/>
      <c r="H5" s="74"/>
      <c r="I5" s="74"/>
      <c r="J5" s="1"/>
      <c r="K5" s="1"/>
      <c r="L5" s="1"/>
      <c r="M5" s="1"/>
      <c r="N5" s="1"/>
    </row>
    <row r="6" spans="1:14" ht="4.05" customHeight="1" x14ac:dyDescent="0.3">
      <c r="A6" s="1"/>
      <c r="B6" s="3"/>
      <c r="C6" s="3"/>
      <c r="D6" s="3"/>
      <c r="E6" s="3"/>
      <c r="F6" s="3"/>
      <c r="G6" s="3"/>
      <c r="H6" s="3"/>
      <c r="I6" s="3"/>
      <c r="J6" s="1"/>
      <c r="K6" s="1"/>
      <c r="L6" s="1"/>
      <c r="M6" s="1"/>
      <c r="N6" s="1"/>
    </row>
    <row r="7" spans="1:14" x14ac:dyDescent="0.3">
      <c r="A7" s="1"/>
      <c r="B7" s="1"/>
      <c r="C7" s="1"/>
      <c r="D7" s="1"/>
      <c r="E7" s="1"/>
      <c r="F7" s="1"/>
      <c r="G7" s="1"/>
      <c r="H7" s="1"/>
      <c r="I7" s="1"/>
      <c r="J7" s="1"/>
      <c r="K7" s="1"/>
      <c r="L7" s="1"/>
      <c r="M7" s="1"/>
      <c r="N7" s="1"/>
    </row>
    <row r="8" spans="1:14" x14ac:dyDescent="0.3">
      <c r="A8" s="1"/>
      <c r="B8" s="82" t="s">
        <v>119</v>
      </c>
      <c r="C8" s="74"/>
      <c r="D8" s="74"/>
      <c r="E8" s="74"/>
      <c r="F8" s="74"/>
      <c r="G8" s="74"/>
      <c r="H8" s="74"/>
      <c r="I8" s="1"/>
      <c r="J8" s="1"/>
      <c r="K8" s="1"/>
      <c r="L8" s="1"/>
      <c r="M8" s="1"/>
      <c r="N8" s="1"/>
    </row>
    <row r="9" spans="1:14" x14ac:dyDescent="0.3">
      <c r="A9" s="1"/>
      <c r="B9" s="7" t="s">
        <v>120</v>
      </c>
      <c r="C9" s="76" t="s">
        <v>121</v>
      </c>
      <c r="D9" s="74"/>
      <c r="E9" s="1"/>
      <c r="F9" s="1"/>
      <c r="G9" s="1"/>
      <c r="H9" s="1"/>
      <c r="I9" s="1"/>
      <c r="J9" s="1"/>
      <c r="K9" s="1"/>
      <c r="L9" s="1"/>
      <c r="M9" s="1"/>
      <c r="N9" s="1"/>
    </row>
    <row r="10" spans="1:14" x14ac:dyDescent="0.3">
      <c r="A10" s="1"/>
      <c r="B10" s="7" t="s">
        <v>122</v>
      </c>
      <c r="C10" s="79" t="s">
        <v>123</v>
      </c>
      <c r="D10" s="74"/>
      <c r="E10" s="1"/>
      <c r="F10" s="1"/>
      <c r="G10" s="1"/>
      <c r="H10" s="1"/>
      <c r="I10" s="1"/>
      <c r="J10" s="1"/>
      <c r="K10" s="1"/>
      <c r="L10" s="1"/>
      <c r="M10" s="1"/>
      <c r="N10" s="1"/>
    </row>
    <row r="11" spans="1:14" x14ac:dyDescent="0.3">
      <c r="A11" s="1"/>
      <c r="B11" s="7" t="s">
        <v>124</v>
      </c>
      <c r="C11" s="76" t="s">
        <v>125</v>
      </c>
      <c r="D11" s="74"/>
      <c r="E11" s="1"/>
      <c r="F11" s="1"/>
      <c r="G11" s="1"/>
      <c r="H11" s="1"/>
      <c r="I11" s="1"/>
      <c r="J11" s="1"/>
      <c r="K11" s="1"/>
      <c r="L11" s="1"/>
      <c r="M11" s="1"/>
      <c r="N11" s="1"/>
    </row>
    <row r="12" spans="1:14" x14ac:dyDescent="0.3">
      <c r="A12" s="1"/>
      <c r="B12" s="7" t="s">
        <v>126</v>
      </c>
      <c r="C12" s="79" t="s">
        <v>127</v>
      </c>
      <c r="D12" s="74"/>
      <c r="E12" s="1"/>
      <c r="F12" s="1"/>
      <c r="G12" s="1"/>
      <c r="H12" s="1"/>
      <c r="I12" s="1"/>
      <c r="J12" s="1"/>
      <c r="K12" s="1"/>
      <c r="L12" s="1"/>
      <c r="M12" s="1"/>
      <c r="N12" s="1"/>
    </row>
    <row r="13" spans="1:14" x14ac:dyDescent="0.3">
      <c r="A13" s="1"/>
      <c r="B13" s="7" t="s">
        <v>128</v>
      </c>
      <c r="C13" s="76" t="s">
        <v>129</v>
      </c>
      <c r="D13" s="74"/>
      <c r="E13" s="1"/>
      <c r="F13" s="1"/>
      <c r="G13" s="1"/>
      <c r="H13" s="1"/>
      <c r="I13" s="1"/>
      <c r="J13" s="1"/>
      <c r="K13" s="1"/>
      <c r="L13" s="1"/>
      <c r="M13" s="1"/>
      <c r="N13" s="1"/>
    </row>
    <row r="14" spans="1:14" x14ac:dyDescent="0.3">
      <c r="A14" s="1"/>
      <c r="B14" s="7" t="s">
        <v>130</v>
      </c>
      <c r="C14" s="79" t="s">
        <v>131</v>
      </c>
      <c r="D14" s="74"/>
      <c r="E14" s="1"/>
      <c r="F14" s="1"/>
      <c r="G14" s="1"/>
      <c r="H14" s="1"/>
      <c r="I14" s="1"/>
      <c r="J14" s="1"/>
      <c r="K14" s="1"/>
      <c r="L14" s="1"/>
      <c r="M14" s="1"/>
      <c r="N14" s="1"/>
    </row>
    <row r="15" spans="1:14" x14ac:dyDescent="0.3">
      <c r="A15" s="1"/>
      <c r="B15" s="7" t="s">
        <v>132</v>
      </c>
      <c r="C15" s="76" t="s">
        <v>133</v>
      </c>
      <c r="D15" s="74"/>
      <c r="E15" s="1"/>
      <c r="F15" s="1"/>
      <c r="G15" s="1"/>
      <c r="H15" s="1"/>
      <c r="I15" s="1"/>
      <c r="J15" s="1"/>
      <c r="K15" s="1"/>
      <c r="L15" s="1"/>
      <c r="M15" s="1"/>
      <c r="N15" s="1"/>
    </row>
    <row r="16" spans="1:14" x14ac:dyDescent="0.3">
      <c r="A16" s="1"/>
      <c r="B16" s="7" t="s">
        <v>134</v>
      </c>
      <c r="C16" s="79" t="s">
        <v>135</v>
      </c>
      <c r="D16" s="74"/>
      <c r="E16" s="1"/>
      <c r="F16" s="1"/>
      <c r="G16" s="1"/>
      <c r="H16" s="1"/>
      <c r="I16" s="1"/>
      <c r="J16" s="1"/>
      <c r="K16" s="1"/>
      <c r="L16" s="1"/>
      <c r="M16" s="1"/>
      <c r="N16" s="1"/>
    </row>
    <row r="17" spans="1:14" x14ac:dyDescent="0.3">
      <c r="A17" s="1"/>
      <c r="B17" s="7" t="s">
        <v>136</v>
      </c>
      <c r="C17" s="76" t="s">
        <v>137</v>
      </c>
      <c r="D17" s="74"/>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98" t="s">
        <v>138</v>
      </c>
      <c r="C20" s="74"/>
      <c r="D20" s="74"/>
      <c r="E20" s="74"/>
      <c r="F20" s="74"/>
      <c r="G20" s="74"/>
      <c r="H20" s="74"/>
      <c r="I20" s="74"/>
      <c r="J20" s="1"/>
      <c r="K20" s="1"/>
      <c r="L20" s="1"/>
      <c r="M20" s="1"/>
      <c r="N20" s="1"/>
    </row>
    <row r="21" spans="1:14" ht="36" customHeight="1" x14ac:dyDescent="0.3">
      <c r="A21" s="1"/>
      <c r="B21" s="20" t="s">
        <v>68</v>
      </c>
      <c r="C21" s="20" t="s">
        <v>139</v>
      </c>
      <c r="D21" s="20" t="s">
        <v>140</v>
      </c>
      <c r="E21" s="20" t="s">
        <v>141</v>
      </c>
      <c r="F21" s="20" t="s">
        <v>142</v>
      </c>
      <c r="G21" s="20" t="s">
        <v>143</v>
      </c>
      <c r="H21" s="20" t="s">
        <v>144</v>
      </c>
      <c r="I21" s="20" t="s">
        <v>145</v>
      </c>
      <c r="J21" s="1"/>
      <c r="K21" s="1"/>
      <c r="L21" s="1"/>
      <c r="M21" s="1"/>
      <c r="N21" s="1"/>
    </row>
    <row r="22" spans="1:14" ht="22.8" x14ac:dyDescent="0.3">
      <c r="A22" s="1"/>
      <c r="B22" s="11" t="s">
        <v>146</v>
      </c>
      <c r="C22" s="28">
        <v>0.2</v>
      </c>
      <c r="D22" s="29">
        <f t="shared" ref="D22:D30" si="0">C22*250</f>
        <v>50</v>
      </c>
      <c r="E22" s="30">
        <f>Assumptions!C23</f>
        <v>0.13</v>
      </c>
      <c r="F22" s="30">
        <f>Assumptions!D23</f>
        <v>0.16</v>
      </c>
      <c r="G22" s="31">
        <f t="shared" ref="G22:G30" si="1">C22*E22</f>
        <v>2.6000000000000002E-2</v>
      </c>
      <c r="H22" s="32">
        <f t="shared" ref="H22:H30" si="2">(C22^2)*(F22^2)</f>
        <v>1.0240000000000002E-3</v>
      </c>
      <c r="I22" s="13" t="s">
        <v>147</v>
      </c>
      <c r="J22" s="1"/>
      <c r="K22" s="1"/>
      <c r="L22" s="1"/>
      <c r="M22" s="1"/>
      <c r="N22" s="1"/>
    </row>
    <row r="23" spans="1:14" ht="22.8" x14ac:dyDescent="0.3">
      <c r="A23" s="1"/>
      <c r="B23" s="14" t="s">
        <v>148</v>
      </c>
      <c r="C23" s="28">
        <v>0.2</v>
      </c>
      <c r="D23" s="29">
        <f t="shared" si="0"/>
        <v>50</v>
      </c>
      <c r="E23" s="30">
        <f>Assumptions!C25</f>
        <v>0.13500000000000001</v>
      </c>
      <c r="F23" s="30">
        <f>Assumptions!D25</f>
        <v>0.18</v>
      </c>
      <c r="G23" s="31">
        <f t="shared" si="1"/>
        <v>2.7000000000000003E-2</v>
      </c>
      <c r="H23" s="32">
        <f t="shared" si="2"/>
        <v>1.2960000000000003E-3</v>
      </c>
      <c r="I23" s="16" t="s">
        <v>149</v>
      </c>
      <c r="J23" s="1"/>
      <c r="K23" s="1"/>
      <c r="L23" s="1"/>
      <c r="M23" s="1"/>
      <c r="N23" s="1"/>
    </row>
    <row r="24" spans="1:14" ht="22.8" x14ac:dyDescent="0.3">
      <c r="A24" s="1"/>
      <c r="B24" s="11" t="s">
        <v>79</v>
      </c>
      <c r="C24" s="28">
        <v>0.1</v>
      </c>
      <c r="D24" s="29">
        <f t="shared" si="0"/>
        <v>25</v>
      </c>
      <c r="E24" s="30">
        <f>Assumptions!C24</f>
        <v>0.15</v>
      </c>
      <c r="F24" s="30">
        <f>Assumptions!D24</f>
        <v>0.21</v>
      </c>
      <c r="G24" s="31">
        <f t="shared" si="1"/>
        <v>1.4999999999999999E-2</v>
      </c>
      <c r="H24" s="32">
        <f t="shared" si="2"/>
        <v>4.4100000000000004E-4</v>
      </c>
      <c r="I24" s="13" t="s">
        <v>150</v>
      </c>
      <c r="J24" s="1"/>
      <c r="K24" s="1"/>
      <c r="L24" s="1"/>
      <c r="M24" s="1"/>
      <c r="N24" s="1"/>
    </row>
    <row r="25" spans="1:14" ht="22.8" x14ac:dyDescent="0.3">
      <c r="A25" s="1"/>
      <c r="B25" s="14" t="s">
        <v>151</v>
      </c>
      <c r="C25" s="28">
        <v>0.15</v>
      </c>
      <c r="D25" s="29">
        <f t="shared" si="0"/>
        <v>37.5</v>
      </c>
      <c r="E25" s="30">
        <f>Assumptions!C26</f>
        <v>0.17</v>
      </c>
      <c r="F25" s="30">
        <f>Assumptions!D26</f>
        <v>0.22</v>
      </c>
      <c r="G25" s="31">
        <f t="shared" si="1"/>
        <v>2.5500000000000002E-2</v>
      </c>
      <c r="H25" s="32">
        <f t="shared" si="2"/>
        <v>1.0889999999999999E-3</v>
      </c>
      <c r="I25" s="16" t="s">
        <v>152</v>
      </c>
      <c r="J25" s="1"/>
      <c r="K25" s="1"/>
      <c r="L25" s="1"/>
      <c r="M25" s="1"/>
      <c r="N25" s="1"/>
    </row>
    <row r="26" spans="1:14" ht="22.8" x14ac:dyDescent="0.3">
      <c r="A26" s="1"/>
      <c r="B26" s="11" t="s">
        <v>153</v>
      </c>
      <c r="C26" s="28">
        <v>0.1</v>
      </c>
      <c r="D26" s="29">
        <f t="shared" si="0"/>
        <v>25</v>
      </c>
      <c r="E26" s="30">
        <f>Assumptions!C27</f>
        <v>0.18</v>
      </c>
      <c r="F26" s="30">
        <f>Assumptions!D27</f>
        <v>0.2</v>
      </c>
      <c r="G26" s="31">
        <f t="shared" si="1"/>
        <v>1.7999999999999999E-2</v>
      </c>
      <c r="H26" s="32">
        <f t="shared" si="2"/>
        <v>4.0000000000000018E-4</v>
      </c>
      <c r="I26" s="13" t="s">
        <v>154</v>
      </c>
      <c r="J26" s="1"/>
      <c r="K26" s="1"/>
      <c r="L26" s="1"/>
      <c r="M26" s="1"/>
      <c r="N26" s="1"/>
    </row>
    <row r="27" spans="1:14" ht="22.8" x14ac:dyDescent="0.3">
      <c r="A27" s="1"/>
      <c r="B27" s="14" t="s">
        <v>155</v>
      </c>
      <c r="C27" s="28">
        <v>0.1</v>
      </c>
      <c r="D27" s="29">
        <f t="shared" si="0"/>
        <v>25</v>
      </c>
      <c r="E27" s="30">
        <f>Assumptions!C29</f>
        <v>8.5000000000000006E-2</v>
      </c>
      <c r="F27" s="30">
        <f>Assumptions!D29</f>
        <v>0.05</v>
      </c>
      <c r="G27" s="31">
        <f t="shared" si="1"/>
        <v>8.5000000000000006E-3</v>
      </c>
      <c r="H27" s="32">
        <f t="shared" si="2"/>
        <v>2.5000000000000011E-5</v>
      </c>
      <c r="I27" s="16" t="s">
        <v>156</v>
      </c>
      <c r="J27" s="1"/>
      <c r="K27" s="1"/>
      <c r="L27" s="1"/>
      <c r="M27" s="1"/>
      <c r="N27" s="1"/>
    </row>
    <row r="28" spans="1:14" x14ac:dyDescent="0.3">
      <c r="A28" s="1"/>
      <c r="B28" s="11" t="s">
        <v>157</v>
      </c>
      <c r="C28" s="28">
        <v>7.0000000000000007E-2</v>
      </c>
      <c r="D28" s="29">
        <f t="shared" si="0"/>
        <v>17.5</v>
      </c>
      <c r="E28" s="30">
        <f>Assumptions!C31</f>
        <v>0.09</v>
      </c>
      <c r="F28" s="30">
        <f>Assumptions!D31</f>
        <v>0.12</v>
      </c>
      <c r="G28" s="31">
        <f t="shared" si="1"/>
        <v>6.3E-3</v>
      </c>
      <c r="H28" s="32">
        <f t="shared" si="2"/>
        <v>7.0560000000000002E-5</v>
      </c>
      <c r="I28" s="13" t="s">
        <v>158</v>
      </c>
      <c r="J28" s="1"/>
      <c r="K28" s="1"/>
      <c r="L28" s="1"/>
      <c r="M28" s="1"/>
      <c r="N28" s="1"/>
    </row>
    <row r="29" spans="1:14" ht="22.8" x14ac:dyDescent="0.3">
      <c r="A29" s="1"/>
      <c r="B29" s="14" t="s">
        <v>101</v>
      </c>
      <c r="C29" s="28">
        <v>0.05</v>
      </c>
      <c r="D29" s="29">
        <f t="shared" si="0"/>
        <v>12.5</v>
      </c>
      <c r="E29" s="30">
        <f>Assumptions!C32</f>
        <v>0.1</v>
      </c>
      <c r="F29" s="30">
        <f>Assumptions!D32</f>
        <v>0.13</v>
      </c>
      <c r="G29" s="31">
        <f t="shared" si="1"/>
        <v>5.000000000000001E-3</v>
      </c>
      <c r="H29" s="32">
        <f t="shared" si="2"/>
        <v>4.2250000000000011E-5</v>
      </c>
      <c r="I29" s="16" t="s">
        <v>159</v>
      </c>
      <c r="J29" s="1"/>
      <c r="K29" s="1"/>
      <c r="L29" s="1"/>
      <c r="M29" s="1"/>
      <c r="N29" s="1"/>
    </row>
    <row r="30" spans="1:14" ht="22.8" x14ac:dyDescent="0.3">
      <c r="A30" s="1"/>
      <c r="B30" s="11" t="s">
        <v>160</v>
      </c>
      <c r="C30" s="28">
        <v>0.03</v>
      </c>
      <c r="D30" s="29">
        <f t="shared" si="0"/>
        <v>7.5</v>
      </c>
      <c r="E30" s="30">
        <f>Assumptions!C33</f>
        <v>0.12</v>
      </c>
      <c r="F30" s="30">
        <f>Assumptions!D33</f>
        <v>0.15</v>
      </c>
      <c r="G30" s="31">
        <f t="shared" si="1"/>
        <v>3.5999999999999999E-3</v>
      </c>
      <c r="H30" s="32">
        <f t="shared" si="2"/>
        <v>2.0249999999999998E-5</v>
      </c>
      <c r="I30" s="13" t="s">
        <v>161</v>
      </c>
      <c r="J30" s="1"/>
      <c r="K30" s="1"/>
      <c r="L30" s="1"/>
      <c r="M30" s="1"/>
      <c r="N30" s="1"/>
    </row>
    <row r="31" spans="1:14" ht="22.05" customHeight="1" x14ac:dyDescent="0.3">
      <c r="A31" s="1"/>
      <c r="B31" s="33" t="s">
        <v>162</v>
      </c>
      <c r="C31" s="34">
        <f>SUM(C22:C30)</f>
        <v>1</v>
      </c>
      <c r="D31" s="35">
        <f>SUM(D22:D30)</f>
        <v>250</v>
      </c>
      <c r="E31" s="36"/>
      <c r="F31" s="36"/>
      <c r="G31" s="34">
        <f>SUM(G22:G30)</f>
        <v>0.13489999999999999</v>
      </c>
      <c r="H31" s="37">
        <f>SUM(H22:H30)</f>
        <v>4.4080600000000001E-3</v>
      </c>
      <c r="I31" s="36"/>
      <c r="J31" s="1"/>
      <c r="K31" s="1"/>
      <c r="L31" s="1"/>
      <c r="M31" s="1"/>
      <c r="N31" s="1"/>
    </row>
    <row r="32" spans="1:14" x14ac:dyDescent="0.3">
      <c r="A32" s="1"/>
      <c r="B32" s="1"/>
      <c r="C32" s="1"/>
      <c r="D32" s="1"/>
      <c r="E32" s="1"/>
      <c r="F32" s="1"/>
      <c r="G32" s="1"/>
      <c r="H32" s="1"/>
      <c r="I32" s="1"/>
      <c r="J32" s="1"/>
      <c r="K32" s="1"/>
      <c r="L32" s="1"/>
      <c r="M32" s="1"/>
      <c r="N32" s="1"/>
    </row>
    <row r="33" spans="1:14" ht="22.05" customHeight="1" x14ac:dyDescent="0.3">
      <c r="A33" s="1"/>
      <c r="B33" s="98" t="s">
        <v>163</v>
      </c>
      <c r="C33" s="74"/>
      <c r="D33" s="74"/>
      <c r="E33" s="74"/>
      <c r="F33" s="74"/>
      <c r="G33" s="1"/>
      <c r="H33" s="1"/>
      <c r="I33" s="1"/>
      <c r="J33" s="1"/>
      <c r="K33" s="1"/>
      <c r="L33" s="1"/>
      <c r="M33" s="1"/>
      <c r="N33" s="1"/>
    </row>
    <row r="34" spans="1:14" x14ac:dyDescent="0.3">
      <c r="A34" s="1"/>
      <c r="B34" s="7" t="s">
        <v>164</v>
      </c>
      <c r="C34" s="88">
        <f>G31</f>
        <v>0.13489999999999999</v>
      </c>
      <c r="D34" s="74"/>
      <c r="E34" s="1"/>
      <c r="F34" s="1"/>
      <c r="G34" s="1"/>
      <c r="H34" s="1"/>
      <c r="I34" s="1"/>
      <c r="J34" s="1"/>
      <c r="K34" s="1"/>
      <c r="L34" s="1"/>
      <c r="M34" s="1"/>
      <c r="N34" s="1"/>
    </row>
    <row r="35" spans="1:14" x14ac:dyDescent="0.3">
      <c r="A35" s="1"/>
      <c r="B35" s="7" t="s">
        <v>165</v>
      </c>
      <c r="C35" s="87">
        <f>SQRT(H31)</f>
        <v>6.639322254567856E-2</v>
      </c>
      <c r="D35" s="74"/>
      <c r="E35" s="1"/>
      <c r="F35" s="1"/>
      <c r="G35" s="1"/>
      <c r="H35" s="1"/>
      <c r="I35" s="1"/>
      <c r="J35" s="1"/>
      <c r="K35" s="1"/>
      <c r="L35" s="1"/>
      <c r="M35" s="1"/>
      <c r="N35" s="1"/>
    </row>
    <row r="36" spans="1:14" x14ac:dyDescent="0.3">
      <c r="A36" s="1"/>
      <c r="B36" s="7" t="s">
        <v>166</v>
      </c>
      <c r="C36" s="88">
        <f>Assumptions!C8</f>
        <v>7.1999999999999995E-2</v>
      </c>
      <c r="D36" s="74"/>
      <c r="E36" s="1"/>
      <c r="F36" s="1"/>
      <c r="G36" s="1"/>
      <c r="H36" s="1"/>
      <c r="I36" s="1"/>
      <c r="J36" s="1"/>
      <c r="K36" s="1"/>
      <c r="L36" s="1"/>
      <c r="M36" s="1"/>
      <c r="N36" s="1"/>
    </row>
    <row r="37" spans="1:14" x14ac:dyDescent="0.3">
      <c r="A37" s="1"/>
      <c r="B37" s="5" t="s">
        <v>167</v>
      </c>
      <c r="C37" s="80">
        <f>(G31-Assumptions!C8)/SQRT(H31)</f>
        <v>0.94738585639106121</v>
      </c>
      <c r="D37" s="81"/>
      <c r="E37" s="1"/>
      <c r="F37" s="1"/>
      <c r="G37" s="1"/>
      <c r="H37" s="1"/>
      <c r="I37" s="1"/>
      <c r="J37" s="1"/>
      <c r="K37" s="1"/>
      <c r="L37" s="1"/>
      <c r="M37" s="1"/>
      <c r="N37" s="1"/>
    </row>
    <row r="38" spans="1:14" x14ac:dyDescent="0.3">
      <c r="A38" s="1"/>
      <c r="B38" s="7" t="s">
        <v>168</v>
      </c>
      <c r="C38" s="75">
        <v>250</v>
      </c>
      <c r="D38" s="74"/>
      <c r="E38" s="1"/>
      <c r="F38" s="1"/>
      <c r="G38" s="1"/>
      <c r="H38" s="1"/>
      <c r="I38" s="1"/>
      <c r="J38" s="1"/>
      <c r="K38" s="1"/>
      <c r="L38" s="1"/>
      <c r="M38" s="1"/>
      <c r="N38" s="1"/>
    </row>
    <row r="39" spans="1:14" x14ac:dyDescent="0.3">
      <c r="A39" s="1"/>
      <c r="B39" s="7" t="s">
        <v>169</v>
      </c>
      <c r="C39" s="86">
        <f>250*(1+G31)^10</f>
        <v>886.16780701814878</v>
      </c>
      <c r="D39" s="74"/>
      <c r="E39" s="1"/>
      <c r="F39" s="1"/>
      <c r="G39" s="1"/>
      <c r="H39" s="1"/>
      <c r="I39" s="1"/>
      <c r="J39" s="1"/>
      <c r="K39" s="1"/>
      <c r="L39" s="1"/>
      <c r="M39" s="1"/>
      <c r="N39" s="1"/>
    </row>
    <row r="40" spans="1:14" x14ac:dyDescent="0.3">
      <c r="A40" s="1"/>
      <c r="B40" s="7" t="s">
        <v>170</v>
      </c>
      <c r="C40" s="85">
        <f>250*((1+G31)/(1+Assumptions!C10))^10</f>
        <v>504.26554118233815</v>
      </c>
      <c r="D40" s="74"/>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
      <c r="C42" s="1"/>
      <c r="D42" s="1"/>
      <c r="E42" s="1"/>
      <c r="F42" s="1"/>
      <c r="G42" s="1"/>
      <c r="H42" s="1"/>
      <c r="I42" s="1"/>
      <c r="J42" s="1"/>
      <c r="K42" s="1"/>
      <c r="L42" s="1"/>
      <c r="M42" s="1"/>
      <c r="N42" s="1"/>
    </row>
    <row r="43" spans="1:14" x14ac:dyDescent="0.3">
      <c r="A43" s="1"/>
      <c r="B43" s="98" t="s">
        <v>171</v>
      </c>
      <c r="C43" s="74"/>
      <c r="D43" s="74"/>
      <c r="E43" s="74"/>
      <c r="F43" s="74"/>
      <c r="G43" s="74"/>
      <c r="H43" s="74"/>
      <c r="I43" s="74"/>
      <c r="J43" s="1"/>
      <c r="K43" s="1"/>
      <c r="L43" s="1"/>
      <c r="M43" s="1"/>
      <c r="N43" s="1"/>
    </row>
    <row r="44" spans="1:14" ht="36" customHeight="1" x14ac:dyDescent="0.3">
      <c r="A44" s="1"/>
      <c r="B44" s="20" t="s">
        <v>172</v>
      </c>
      <c r="C44" s="20" t="s">
        <v>173</v>
      </c>
      <c r="D44" s="20" t="s">
        <v>174</v>
      </c>
      <c r="E44" s="20" t="s">
        <v>175</v>
      </c>
      <c r="F44" s="20" t="s">
        <v>176</v>
      </c>
      <c r="G44" s="20" t="s">
        <v>177</v>
      </c>
      <c r="H44" s="20" t="s">
        <v>178</v>
      </c>
      <c r="I44" s="1"/>
      <c r="J44" s="1"/>
      <c r="K44" s="1"/>
      <c r="L44" s="1"/>
      <c r="M44" s="1"/>
      <c r="N44" s="1"/>
    </row>
    <row r="45" spans="1:14" x14ac:dyDescent="0.3">
      <c r="A45" s="1"/>
      <c r="B45" s="40">
        <v>1</v>
      </c>
      <c r="C45" s="29">
        <f>250</f>
        <v>250</v>
      </c>
      <c r="D45" s="29">
        <f>C45*G31</f>
        <v>33.725000000000001</v>
      </c>
      <c r="E45" s="29">
        <f t="shared" ref="E45:E54" si="3">C45+D45</f>
        <v>283.72500000000002</v>
      </c>
      <c r="F45" s="31">
        <f t="shared" ref="F45:F54" si="4">(E45-250)/250</f>
        <v>0.1349000000000001</v>
      </c>
      <c r="G45" s="29">
        <f>E45/(1+Assumptions!C10)^1</f>
        <v>268.17107750472593</v>
      </c>
      <c r="H45" s="31">
        <f>(G31-Assumptions!C10)/(1+Assumptions!C10)</f>
        <v>7.2684310018903575E-2</v>
      </c>
      <c r="I45" s="1"/>
      <c r="J45" s="1"/>
      <c r="K45" s="1"/>
      <c r="L45" s="1"/>
      <c r="M45" s="1"/>
      <c r="N45" s="1"/>
    </row>
    <row r="46" spans="1:14" x14ac:dyDescent="0.3">
      <c r="A46" s="1"/>
      <c r="B46" s="41">
        <v>2</v>
      </c>
      <c r="C46" s="39">
        <f t="shared" ref="C46:C54" si="5">E45</f>
        <v>283.72500000000002</v>
      </c>
      <c r="D46" s="39">
        <f>C46*G31</f>
        <v>38.274502500000004</v>
      </c>
      <c r="E46" s="39">
        <f t="shared" si="3"/>
        <v>321.99950250000001</v>
      </c>
      <c r="F46" s="38">
        <f t="shared" si="4"/>
        <v>0.28799801000000003</v>
      </c>
      <c r="G46" s="39">
        <f>E46/(1+Assumptions!C10)^2</f>
        <v>287.66290724018279</v>
      </c>
      <c r="H46" s="38">
        <f>(G31-Assumptions!C10)/(1+Assumptions!C10)</f>
        <v>7.2684310018903575E-2</v>
      </c>
      <c r="I46" s="1"/>
      <c r="J46" s="1"/>
      <c r="K46" s="1"/>
      <c r="L46" s="1"/>
      <c r="M46" s="1"/>
      <c r="N46" s="1"/>
    </row>
    <row r="47" spans="1:14" x14ac:dyDescent="0.3">
      <c r="A47" s="1"/>
      <c r="B47" s="40">
        <v>3</v>
      </c>
      <c r="C47" s="29">
        <f t="shared" si="5"/>
        <v>321.99950250000001</v>
      </c>
      <c r="D47" s="29">
        <f>C47*G31</f>
        <v>43.43773288725</v>
      </c>
      <c r="E47" s="29">
        <f t="shared" si="3"/>
        <v>365.43723538724998</v>
      </c>
      <c r="F47" s="31">
        <f t="shared" si="4"/>
        <v>0.46174894154899992</v>
      </c>
      <c r="G47" s="29">
        <f>E47/(1+Assumptions!C10)^3</f>
        <v>308.57148717096737</v>
      </c>
      <c r="H47" s="31">
        <f>(G31-Assumptions!C10)/(1+Assumptions!C10)</f>
        <v>7.2684310018903575E-2</v>
      </c>
      <c r="I47" s="1"/>
      <c r="J47" s="1"/>
      <c r="K47" s="1"/>
      <c r="L47" s="1"/>
      <c r="M47" s="1"/>
      <c r="N47" s="1"/>
    </row>
    <row r="48" spans="1:14" x14ac:dyDescent="0.3">
      <c r="A48" s="1"/>
      <c r="B48" s="41">
        <v>4</v>
      </c>
      <c r="C48" s="39">
        <f t="shared" si="5"/>
        <v>365.43723538724998</v>
      </c>
      <c r="D48" s="39">
        <f>C48*G31</f>
        <v>49.297483053740017</v>
      </c>
      <c r="E48" s="39">
        <f t="shared" si="3"/>
        <v>414.73471844098998</v>
      </c>
      <c r="F48" s="38">
        <f t="shared" si="4"/>
        <v>0.65893887376395988</v>
      </c>
      <c r="G48" s="39">
        <f>E48/(1+Assumptions!C10)^4</f>
        <v>330.99979280749608</v>
      </c>
      <c r="H48" s="38">
        <f>(G31-Assumptions!C10)/(1+Assumptions!C10)</f>
        <v>7.2684310018903575E-2</v>
      </c>
      <c r="I48" s="1"/>
      <c r="J48" s="1"/>
      <c r="K48" s="1"/>
      <c r="L48" s="1"/>
      <c r="M48" s="1"/>
      <c r="N48" s="1"/>
    </row>
    <row r="49" spans="1:14" x14ac:dyDescent="0.3">
      <c r="A49" s="1"/>
      <c r="B49" s="40">
        <v>5</v>
      </c>
      <c r="C49" s="29">
        <f t="shared" si="5"/>
        <v>414.73471844098998</v>
      </c>
      <c r="D49" s="29">
        <f>C49*G31</f>
        <v>55.947713517689543</v>
      </c>
      <c r="E49" s="29">
        <f t="shared" si="3"/>
        <v>470.6824319586795</v>
      </c>
      <c r="F49" s="31">
        <f t="shared" si="4"/>
        <v>0.88272972783471804</v>
      </c>
      <c r="G49" s="29">
        <f>E49/(1+Assumptions!C10)^5</f>
        <v>355.05828436410894</v>
      </c>
      <c r="H49" s="31">
        <f>(G31-Assumptions!C10)/(1+Assumptions!C10)</f>
        <v>7.2684310018903575E-2</v>
      </c>
      <c r="I49" s="1"/>
      <c r="J49" s="1"/>
      <c r="K49" s="1"/>
      <c r="L49" s="1"/>
      <c r="M49" s="1"/>
      <c r="N49" s="1"/>
    </row>
    <row r="50" spans="1:14" x14ac:dyDescent="0.3">
      <c r="A50" s="1"/>
      <c r="B50" s="41">
        <v>6</v>
      </c>
      <c r="C50" s="39">
        <f t="shared" si="5"/>
        <v>470.6824319586795</v>
      </c>
      <c r="D50" s="39">
        <f>C50*G31</f>
        <v>63.495060071225858</v>
      </c>
      <c r="E50" s="39">
        <f t="shared" si="3"/>
        <v>534.17749202990535</v>
      </c>
      <c r="F50" s="38">
        <f t="shared" si="4"/>
        <v>1.1367099681196213</v>
      </c>
      <c r="G50" s="39">
        <f>E50/(1+Assumptions!C10)^6</f>
        <v>380.86545077960983</v>
      </c>
      <c r="H50" s="38">
        <f>(G31-Assumptions!C10)/(1+Assumptions!C10)</f>
        <v>7.2684310018903575E-2</v>
      </c>
      <c r="I50" s="1"/>
      <c r="J50" s="1"/>
      <c r="K50" s="1"/>
      <c r="L50" s="1"/>
      <c r="M50" s="1"/>
      <c r="N50" s="1"/>
    </row>
    <row r="51" spans="1:14" x14ac:dyDescent="0.3">
      <c r="A51" s="1"/>
      <c r="B51" s="40">
        <v>7</v>
      </c>
      <c r="C51" s="29">
        <f t="shared" si="5"/>
        <v>534.17749202990535</v>
      </c>
      <c r="D51" s="29">
        <f>C51*G31</f>
        <v>72.060543674834221</v>
      </c>
      <c r="E51" s="29">
        <f t="shared" si="3"/>
        <v>606.23803570473956</v>
      </c>
      <c r="F51" s="31">
        <f t="shared" si="4"/>
        <v>1.4249521428189582</v>
      </c>
      <c r="G51" s="29">
        <f>E51/(1+Assumptions!C10)^7</f>
        <v>408.54839327956444</v>
      </c>
      <c r="H51" s="31">
        <f>(G31-Assumptions!C10)/(1+Assumptions!C10)</f>
        <v>7.2684310018903575E-2</v>
      </c>
      <c r="I51" s="1"/>
      <c r="J51" s="1"/>
      <c r="K51" s="1"/>
      <c r="L51" s="1"/>
      <c r="M51" s="1"/>
      <c r="N51" s="1"/>
    </row>
    <row r="52" spans="1:14" x14ac:dyDescent="0.3">
      <c r="A52" s="1"/>
      <c r="B52" s="41">
        <v>8</v>
      </c>
      <c r="C52" s="39">
        <f t="shared" si="5"/>
        <v>606.23803570473956</v>
      </c>
      <c r="D52" s="39">
        <f>C52*G31</f>
        <v>81.781511016569368</v>
      </c>
      <c r="E52" s="39">
        <f t="shared" si="3"/>
        <v>688.01954672130887</v>
      </c>
      <c r="F52" s="38">
        <f t="shared" si="4"/>
        <v>1.7520781868852355</v>
      </c>
      <c r="G52" s="39">
        <f>E52/(1+Assumptions!C10)^8</f>
        <v>438.24345135442127</v>
      </c>
      <c r="H52" s="38">
        <f>(G31-Assumptions!C10)/(1+Assumptions!C10)</f>
        <v>7.2684310018903575E-2</v>
      </c>
      <c r="I52" s="1"/>
      <c r="J52" s="1"/>
      <c r="K52" s="1"/>
      <c r="L52" s="1"/>
      <c r="M52" s="1"/>
      <c r="N52" s="1"/>
    </row>
    <row r="53" spans="1:14" x14ac:dyDescent="0.3">
      <c r="A53" s="1"/>
      <c r="B53" s="40">
        <v>9</v>
      </c>
      <c r="C53" s="29">
        <f t="shared" si="5"/>
        <v>688.01954672130887</v>
      </c>
      <c r="D53" s="29">
        <f>C53*G31</f>
        <v>92.813836852704554</v>
      </c>
      <c r="E53" s="29">
        <f t="shared" si="3"/>
        <v>780.8333835740134</v>
      </c>
      <c r="F53" s="31">
        <f t="shared" si="4"/>
        <v>2.1233335342960538</v>
      </c>
      <c r="G53" s="29">
        <f>E53/(1+Assumptions!C10)^9</f>
        <v>470.09687423642026</v>
      </c>
      <c r="H53" s="31">
        <f>(G31-Assumptions!C10)/(1+Assumptions!C10)</f>
        <v>7.2684310018903575E-2</v>
      </c>
      <c r="I53" s="1"/>
      <c r="J53" s="1"/>
      <c r="K53" s="1"/>
      <c r="L53" s="1"/>
      <c r="M53" s="1"/>
      <c r="N53" s="1"/>
    </row>
    <row r="54" spans="1:14" x14ac:dyDescent="0.3">
      <c r="A54" s="1"/>
      <c r="B54" s="42">
        <v>10</v>
      </c>
      <c r="C54" s="43">
        <f t="shared" si="5"/>
        <v>780.8333835740134</v>
      </c>
      <c r="D54" s="43">
        <f>C54*G31</f>
        <v>105.3344234441344</v>
      </c>
      <c r="E54" s="43">
        <f t="shared" si="3"/>
        <v>886.16780701814776</v>
      </c>
      <c r="F54" s="44">
        <f t="shared" si="4"/>
        <v>2.5446712280725912</v>
      </c>
      <c r="G54" s="43">
        <f>E54/(1+Assumptions!C10)^10</f>
        <v>504.26554118233776</v>
      </c>
      <c r="H54" s="44">
        <f>(G31-Assumptions!C10)/(1+Assumptions!C10)</f>
        <v>7.2684310018903575E-2</v>
      </c>
      <c r="I54" s="1"/>
      <c r="J54" s="1"/>
      <c r="K54" s="1"/>
      <c r="L54" s="1"/>
      <c r="M54" s="1"/>
      <c r="N54" s="1"/>
    </row>
    <row r="55" spans="1:14" x14ac:dyDescent="0.3">
      <c r="A55" s="1"/>
      <c r="B55" s="1"/>
      <c r="C55" s="1"/>
      <c r="D55" s="1"/>
      <c r="E55" s="1"/>
      <c r="F55" s="1"/>
      <c r="G55" s="1"/>
      <c r="H55" s="1"/>
      <c r="I55" s="1"/>
      <c r="J55" s="1"/>
      <c r="K55" s="1"/>
      <c r="L55" s="1"/>
      <c r="M55" s="1"/>
      <c r="N55" s="1"/>
    </row>
    <row r="56" spans="1:14" x14ac:dyDescent="0.3">
      <c r="A56" s="1"/>
      <c r="B56" s="1"/>
      <c r="C56" s="1"/>
      <c r="D56" s="1"/>
      <c r="E56" s="1"/>
      <c r="F56" s="1"/>
      <c r="G56" s="1"/>
      <c r="H56" s="1"/>
      <c r="I56" s="1"/>
      <c r="J56" s="1"/>
      <c r="K56" s="1"/>
      <c r="L56" s="1"/>
      <c r="M56" s="1"/>
      <c r="N56" s="1"/>
    </row>
    <row r="57" spans="1:14" ht="22.05" customHeight="1" x14ac:dyDescent="0.3">
      <c r="A57" s="1"/>
      <c r="B57" s="89" t="s">
        <v>179</v>
      </c>
      <c r="C57" s="74"/>
      <c r="D57" s="74"/>
      <c r="E57" s="74"/>
      <c r="F57" s="74"/>
      <c r="G57" s="74"/>
      <c r="H57" s="74"/>
      <c r="I57" s="74"/>
      <c r="J57" s="1"/>
      <c r="K57" s="1"/>
      <c r="L57" s="1"/>
      <c r="M57" s="1"/>
      <c r="N57" s="1"/>
    </row>
    <row r="58" spans="1:14" ht="28.05" customHeight="1" x14ac:dyDescent="0.3">
      <c r="A58" s="1"/>
      <c r="B58" s="84" t="s">
        <v>180</v>
      </c>
      <c r="C58" s="74"/>
      <c r="D58" s="74"/>
      <c r="E58" s="74"/>
      <c r="F58" s="74"/>
      <c r="G58" s="74"/>
      <c r="H58" s="74"/>
      <c r="I58" s="74"/>
      <c r="J58" s="1"/>
      <c r="K58" s="1"/>
      <c r="L58" s="1"/>
      <c r="M58" s="1"/>
      <c r="N58" s="1"/>
    </row>
    <row r="59" spans="1:14" ht="28.05" customHeight="1" x14ac:dyDescent="0.3">
      <c r="A59" s="1"/>
      <c r="B59" s="83" t="s">
        <v>181</v>
      </c>
      <c r="C59" s="74"/>
      <c r="D59" s="74"/>
      <c r="E59" s="74"/>
      <c r="F59" s="74"/>
      <c r="G59" s="74"/>
      <c r="H59" s="74"/>
      <c r="I59" s="74"/>
      <c r="J59" s="1"/>
      <c r="K59" s="1"/>
      <c r="L59" s="1"/>
      <c r="M59" s="1"/>
      <c r="N59" s="1"/>
    </row>
    <row r="60" spans="1:14" ht="28.05" customHeight="1" x14ac:dyDescent="0.3">
      <c r="A60" s="1"/>
      <c r="B60" s="84" t="s">
        <v>182</v>
      </c>
      <c r="C60" s="74"/>
      <c r="D60" s="74"/>
      <c r="E60" s="74"/>
      <c r="F60" s="74"/>
      <c r="G60" s="74"/>
      <c r="H60" s="74"/>
      <c r="I60" s="74"/>
      <c r="J60" s="1"/>
      <c r="K60" s="1"/>
      <c r="L60" s="1"/>
      <c r="M60" s="1"/>
      <c r="N60" s="1"/>
    </row>
    <row r="61" spans="1:14" ht="28.05" customHeight="1" x14ac:dyDescent="0.3">
      <c r="A61" s="1"/>
      <c r="B61" s="83" t="s">
        <v>183</v>
      </c>
      <c r="C61" s="74"/>
      <c r="D61" s="74"/>
      <c r="E61" s="74"/>
      <c r="F61" s="74"/>
      <c r="G61" s="74"/>
      <c r="H61" s="74"/>
      <c r="I61" s="74"/>
      <c r="J61" s="1"/>
      <c r="K61" s="1"/>
      <c r="L61" s="1"/>
      <c r="M61" s="1"/>
      <c r="N61" s="1"/>
    </row>
    <row r="62" spans="1:14" ht="28.05" customHeight="1" x14ac:dyDescent="0.3">
      <c r="A62" s="1"/>
      <c r="B62" s="84" t="s">
        <v>184</v>
      </c>
      <c r="C62" s="74"/>
      <c r="D62" s="74"/>
      <c r="E62" s="74"/>
      <c r="F62" s="74"/>
      <c r="G62" s="74"/>
      <c r="H62" s="74"/>
      <c r="I62" s="74"/>
      <c r="J62" s="1"/>
      <c r="K62" s="1"/>
      <c r="L62" s="1"/>
      <c r="M62" s="1"/>
      <c r="N62" s="1"/>
    </row>
    <row r="63" spans="1:14" ht="28.05" customHeight="1" x14ac:dyDescent="0.3">
      <c r="A63" s="1"/>
      <c r="B63" s="83" t="s">
        <v>185</v>
      </c>
      <c r="C63" s="74"/>
      <c r="D63" s="74"/>
      <c r="E63" s="74"/>
      <c r="F63" s="74"/>
      <c r="G63" s="74"/>
      <c r="H63" s="74"/>
      <c r="I63" s="74"/>
      <c r="J63" s="1"/>
      <c r="K63" s="1"/>
      <c r="L63" s="1"/>
      <c r="M63" s="1"/>
      <c r="N63" s="1"/>
    </row>
    <row r="64" spans="1:14" x14ac:dyDescent="0.3">
      <c r="A64" s="1"/>
      <c r="B64" s="1"/>
      <c r="C64" s="1"/>
      <c r="D64" s="1"/>
      <c r="E64" s="1"/>
      <c r="F64" s="1"/>
      <c r="G64" s="1"/>
      <c r="H64" s="1"/>
      <c r="I64" s="1"/>
      <c r="J64" s="1"/>
      <c r="K64" s="1"/>
      <c r="L64" s="1"/>
      <c r="M64" s="1"/>
      <c r="N64" s="1"/>
    </row>
    <row r="65" spans="1:14" x14ac:dyDescent="0.3">
      <c r="A65" s="1"/>
      <c r="B65" s="1"/>
      <c r="C65" s="1"/>
      <c r="D65" s="1"/>
      <c r="E65" s="1"/>
      <c r="F65" s="1"/>
      <c r="G65" s="1"/>
      <c r="H65" s="1"/>
      <c r="I65" s="1"/>
      <c r="J65" s="1"/>
      <c r="K65" s="1"/>
      <c r="L65" s="1"/>
      <c r="M65" s="1"/>
      <c r="N65" s="1"/>
    </row>
    <row r="66" spans="1:14" x14ac:dyDescent="0.3">
      <c r="A66" s="1"/>
      <c r="B66" s="1"/>
      <c r="C66" s="1"/>
      <c r="D66" s="1"/>
      <c r="E66" s="1"/>
      <c r="F66" s="1"/>
      <c r="G66" s="1"/>
      <c r="H66" s="1"/>
      <c r="I66" s="1"/>
      <c r="J66" s="1"/>
      <c r="K66" s="1"/>
      <c r="L66" s="1"/>
      <c r="M66" s="1"/>
      <c r="N66" s="1"/>
    </row>
    <row r="67" spans="1:14" x14ac:dyDescent="0.3">
      <c r="A67" s="1"/>
      <c r="B67" s="1"/>
      <c r="C67" s="1"/>
      <c r="D67" s="1"/>
      <c r="E67" s="1"/>
      <c r="F67" s="1"/>
      <c r="G67" s="1"/>
      <c r="H67" s="1"/>
      <c r="I67" s="1"/>
      <c r="J67" s="1"/>
      <c r="K67" s="1"/>
      <c r="L67" s="1"/>
      <c r="M67" s="1"/>
      <c r="N67" s="1"/>
    </row>
    <row r="68" spans="1:14" x14ac:dyDescent="0.3">
      <c r="A68" s="1"/>
      <c r="B68" s="1"/>
      <c r="C68" s="1"/>
      <c r="D68" s="1"/>
      <c r="E68" s="1"/>
      <c r="F68" s="1"/>
      <c r="G68" s="1"/>
      <c r="H68" s="1"/>
      <c r="I68" s="1"/>
      <c r="J68" s="1"/>
      <c r="K68" s="1"/>
      <c r="L68" s="1"/>
      <c r="M68" s="1"/>
      <c r="N68" s="1"/>
    </row>
    <row r="69" spans="1:14" x14ac:dyDescent="0.3">
      <c r="A69" s="1"/>
      <c r="B69" s="1"/>
      <c r="C69" s="1"/>
      <c r="D69" s="1"/>
      <c r="E69" s="1"/>
      <c r="F69" s="1"/>
      <c r="G69" s="1"/>
      <c r="H69" s="1"/>
      <c r="I69" s="1"/>
      <c r="J69" s="1"/>
      <c r="K69" s="1"/>
      <c r="L69" s="1"/>
      <c r="M69" s="1"/>
      <c r="N69" s="1"/>
    </row>
    <row r="70" spans="1:14" x14ac:dyDescent="0.3">
      <c r="A70" s="1"/>
      <c r="B70" s="1"/>
      <c r="C70" s="1"/>
      <c r="D70" s="1"/>
      <c r="E70" s="1"/>
      <c r="F70" s="1"/>
      <c r="G70" s="1"/>
      <c r="H70" s="1"/>
      <c r="I70" s="1"/>
      <c r="J70" s="1"/>
      <c r="K70" s="1"/>
      <c r="L70" s="1"/>
      <c r="M70" s="1"/>
      <c r="N70" s="1"/>
    </row>
    <row r="71" spans="1:14" x14ac:dyDescent="0.3">
      <c r="A71" s="1"/>
      <c r="B71" s="1"/>
      <c r="C71" s="1"/>
      <c r="D71" s="1"/>
      <c r="E71" s="1"/>
      <c r="F71" s="1"/>
      <c r="G71" s="1"/>
      <c r="H71" s="1"/>
      <c r="I71" s="1"/>
      <c r="J71" s="1"/>
      <c r="K71" s="1"/>
      <c r="L71" s="1"/>
      <c r="M71" s="1"/>
      <c r="N71" s="1"/>
    </row>
    <row r="72" spans="1:14" x14ac:dyDescent="0.3">
      <c r="A72" s="1"/>
      <c r="B72" s="1"/>
      <c r="C72" s="1"/>
      <c r="D72" s="1"/>
      <c r="E72" s="1"/>
      <c r="F72" s="1"/>
      <c r="G72" s="1"/>
      <c r="H72" s="1"/>
      <c r="I72" s="1"/>
      <c r="J72" s="1"/>
      <c r="K72" s="1"/>
      <c r="L72" s="1"/>
      <c r="M72" s="1"/>
      <c r="N72" s="1"/>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1"/>
      <c r="C75" s="1"/>
      <c r="D75" s="1"/>
      <c r="E75" s="1"/>
      <c r="F75" s="1"/>
      <c r="G75" s="1"/>
      <c r="H75" s="1"/>
      <c r="I75" s="1"/>
      <c r="J75" s="1"/>
      <c r="K75" s="1"/>
      <c r="L75" s="1"/>
      <c r="M75" s="1"/>
      <c r="N75" s="1"/>
    </row>
    <row r="76" spans="1:14" x14ac:dyDescent="0.3">
      <c r="A76" s="1"/>
      <c r="B76" s="1"/>
      <c r="C76" s="1"/>
      <c r="D76" s="1"/>
      <c r="E76" s="1"/>
      <c r="F76" s="1"/>
      <c r="G76" s="1"/>
      <c r="H76" s="1"/>
      <c r="I76" s="1"/>
      <c r="J76" s="1"/>
      <c r="K76" s="1"/>
      <c r="L76" s="1"/>
      <c r="M76" s="1"/>
      <c r="N76" s="1"/>
    </row>
    <row r="77" spans="1:14" x14ac:dyDescent="0.3">
      <c r="A77" s="1"/>
      <c r="B77" s="1"/>
      <c r="C77" s="1"/>
      <c r="D77" s="1"/>
      <c r="E77" s="1"/>
      <c r="F77" s="1"/>
      <c r="G77" s="1"/>
      <c r="H77" s="1"/>
      <c r="I77" s="1"/>
      <c r="J77" s="1"/>
      <c r="K77" s="1"/>
      <c r="L77" s="1"/>
      <c r="M77" s="1"/>
      <c r="N77" s="1"/>
    </row>
    <row r="78" spans="1:14" x14ac:dyDescent="0.3">
      <c r="A78" s="1"/>
      <c r="B78" s="1"/>
      <c r="C78" s="1"/>
      <c r="D78" s="1"/>
      <c r="E78" s="1"/>
      <c r="F78" s="1"/>
      <c r="G78" s="1"/>
      <c r="H78" s="1"/>
      <c r="I78" s="1"/>
      <c r="J78" s="1"/>
      <c r="K78" s="1"/>
      <c r="L78" s="1"/>
      <c r="M78" s="1"/>
      <c r="N78" s="1"/>
    </row>
    <row r="79" spans="1:14" x14ac:dyDescent="0.3">
      <c r="A79" s="1"/>
      <c r="B79" s="1"/>
      <c r="C79" s="1"/>
      <c r="D79" s="1"/>
      <c r="E79" s="1"/>
      <c r="F79" s="1"/>
      <c r="G79" s="1"/>
      <c r="H79" s="1"/>
      <c r="I79" s="1"/>
      <c r="J79" s="1"/>
      <c r="K79" s="1"/>
      <c r="L79" s="1"/>
      <c r="M79" s="1"/>
      <c r="N79" s="1"/>
    </row>
    <row r="80" spans="1:14" x14ac:dyDescent="0.3">
      <c r="A80" s="1"/>
      <c r="B80" s="1"/>
      <c r="C80" s="1"/>
      <c r="D80" s="1"/>
      <c r="E80" s="1"/>
      <c r="F80" s="1"/>
      <c r="G80" s="1"/>
      <c r="H80" s="1"/>
      <c r="I80" s="1"/>
      <c r="J80" s="1"/>
      <c r="K80" s="1"/>
      <c r="L80" s="1"/>
      <c r="M80" s="1"/>
      <c r="N80" s="1"/>
    </row>
    <row r="81" spans="1:14" x14ac:dyDescent="0.3">
      <c r="A81" s="1"/>
      <c r="B81" s="1"/>
      <c r="C81" s="1"/>
      <c r="D81" s="1"/>
      <c r="E81" s="1"/>
      <c r="F81" s="1"/>
      <c r="G81" s="1"/>
      <c r="H81" s="1"/>
      <c r="I81" s="1"/>
      <c r="J81" s="1"/>
      <c r="K81" s="1"/>
      <c r="L81" s="1"/>
      <c r="M81" s="1"/>
      <c r="N81" s="1"/>
    </row>
    <row r="82" spans="1:14" x14ac:dyDescent="0.3">
      <c r="A82" s="1"/>
      <c r="B82" s="1"/>
      <c r="C82" s="1"/>
      <c r="D82" s="1"/>
      <c r="E82" s="1"/>
      <c r="F82" s="1"/>
      <c r="G82" s="1"/>
      <c r="H82" s="1"/>
      <c r="I82" s="1"/>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1"/>
      <c r="C84" s="1"/>
      <c r="D84" s="1"/>
      <c r="E84" s="1"/>
      <c r="F84" s="1"/>
      <c r="G84" s="1"/>
      <c r="H84" s="1"/>
      <c r="I84" s="1"/>
      <c r="J84" s="1"/>
      <c r="K84" s="1"/>
      <c r="L84" s="1"/>
      <c r="M84" s="1"/>
      <c r="N84" s="1"/>
    </row>
    <row r="85" spans="1:14" x14ac:dyDescent="0.3">
      <c r="A85" s="1"/>
      <c r="B85" s="1"/>
      <c r="C85" s="1"/>
      <c r="D85" s="1"/>
      <c r="E85" s="1"/>
      <c r="F85" s="1"/>
      <c r="G85" s="1"/>
      <c r="H85" s="1"/>
      <c r="I85" s="1"/>
      <c r="J85" s="1"/>
      <c r="K85" s="1"/>
      <c r="L85" s="1"/>
      <c r="M85" s="1"/>
      <c r="N85" s="1"/>
    </row>
    <row r="86" spans="1:14" x14ac:dyDescent="0.3">
      <c r="A86" s="1"/>
      <c r="B86" s="1"/>
      <c r="C86" s="1"/>
      <c r="D86" s="1"/>
      <c r="E86" s="1"/>
      <c r="F86" s="1"/>
      <c r="G86" s="1"/>
      <c r="H86" s="1"/>
      <c r="I86" s="1"/>
      <c r="J86" s="1"/>
      <c r="K86" s="1"/>
      <c r="L86" s="1"/>
      <c r="M86" s="1"/>
      <c r="N86" s="1"/>
    </row>
    <row r="87" spans="1:14" x14ac:dyDescent="0.3">
      <c r="A87" s="1"/>
      <c r="B87" s="1"/>
      <c r="C87" s="1"/>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1"/>
      <c r="C90" s="1"/>
      <c r="D90" s="1"/>
      <c r="E90" s="1"/>
      <c r="F90" s="1"/>
      <c r="G90" s="1"/>
      <c r="H90" s="1"/>
      <c r="I90" s="1"/>
      <c r="J90" s="1"/>
      <c r="K90" s="1"/>
      <c r="L90" s="1"/>
      <c r="M90" s="1"/>
      <c r="N90" s="1"/>
    </row>
    <row r="91" spans="1:14" x14ac:dyDescent="0.3">
      <c r="A91" s="1"/>
      <c r="B91" s="1"/>
      <c r="C91" s="1"/>
      <c r="D91" s="1"/>
      <c r="E91" s="1"/>
      <c r="F91" s="1"/>
      <c r="G91" s="1"/>
      <c r="H91" s="1"/>
      <c r="I91" s="1"/>
      <c r="J91" s="1"/>
      <c r="K91" s="1"/>
      <c r="L91" s="1"/>
      <c r="M91" s="1"/>
      <c r="N91" s="1"/>
    </row>
    <row r="92" spans="1:14" x14ac:dyDescent="0.3">
      <c r="A92" s="1"/>
      <c r="B92" s="1"/>
      <c r="C92" s="1"/>
      <c r="D92" s="1"/>
      <c r="E92" s="1"/>
      <c r="F92" s="1"/>
      <c r="G92" s="1"/>
      <c r="H92" s="1"/>
      <c r="I92" s="1"/>
      <c r="J92" s="1"/>
      <c r="K92" s="1"/>
      <c r="L92" s="1"/>
      <c r="M92" s="1"/>
      <c r="N92" s="1"/>
    </row>
    <row r="93" spans="1:14" x14ac:dyDescent="0.3">
      <c r="A93" s="1"/>
      <c r="B93" s="1"/>
      <c r="C93" s="1"/>
      <c r="D93" s="1"/>
      <c r="E93" s="1"/>
      <c r="F93" s="1"/>
      <c r="G93" s="1"/>
      <c r="H93" s="1"/>
      <c r="I93" s="1"/>
      <c r="J93" s="1"/>
      <c r="K93" s="1"/>
      <c r="L93" s="1"/>
      <c r="M93" s="1"/>
      <c r="N93" s="1"/>
    </row>
    <row r="94" spans="1:14" x14ac:dyDescent="0.3">
      <c r="A94" s="1"/>
      <c r="B94" s="1"/>
      <c r="C94" s="1"/>
      <c r="D94" s="1"/>
      <c r="E94" s="1"/>
      <c r="F94" s="1"/>
      <c r="G94" s="1"/>
      <c r="H94" s="1"/>
      <c r="I94" s="1"/>
      <c r="J94" s="1"/>
      <c r="K94" s="1"/>
      <c r="L94" s="1"/>
      <c r="M94" s="1"/>
      <c r="N94" s="1"/>
    </row>
    <row r="95" spans="1:14" x14ac:dyDescent="0.3">
      <c r="A95" s="1"/>
      <c r="B95" s="1"/>
      <c r="C95" s="1"/>
      <c r="D95" s="1"/>
      <c r="E95" s="1"/>
      <c r="F95" s="1"/>
      <c r="G95" s="1"/>
      <c r="H95" s="1"/>
      <c r="I95" s="1"/>
      <c r="J95" s="1"/>
      <c r="K95" s="1"/>
      <c r="L95" s="1"/>
      <c r="M95" s="1"/>
      <c r="N95" s="1"/>
    </row>
    <row r="96" spans="1:14" x14ac:dyDescent="0.3">
      <c r="A96" s="1"/>
      <c r="B96" s="1"/>
      <c r="C96" s="1"/>
      <c r="D96" s="1"/>
      <c r="E96" s="1"/>
      <c r="F96" s="1"/>
      <c r="G96" s="1"/>
      <c r="H96" s="1"/>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1"/>
      <c r="C104" s="1"/>
      <c r="D104" s="1"/>
      <c r="E104" s="1"/>
      <c r="F104" s="1"/>
      <c r="G104" s="1"/>
      <c r="H104" s="1"/>
      <c r="I104" s="1"/>
      <c r="J104" s="1"/>
      <c r="K104" s="1"/>
      <c r="L104" s="1"/>
      <c r="M104" s="1"/>
      <c r="N104" s="1"/>
    </row>
    <row r="105" spans="1:14" x14ac:dyDescent="0.3">
      <c r="A105" s="1"/>
      <c r="B105" s="1"/>
      <c r="C105" s="1"/>
      <c r="D105" s="1"/>
      <c r="E105" s="1"/>
      <c r="F105" s="1"/>
      <c r="G105" s="1"/>
      <c r="H105" s="1"/>
      <c r="I105" s="1"/>
      <c r="J105" s="1"/>
      <c r="K105" s="1"/>
      <c r="L105" s="1"/>
      <c r="M105" s="1"/>
      <c r="N105" s="1"/>
    </row>
    <row r="106" spans="1:14" x14ac:dyDescent="0.3">
      <c r="A106" s="1"/>
      <c r="B106" s="1"/>
      <c r="C106" s="1"/>
      <c r="D106" s="1"/>
      <c r="E106" s="1"/>
      <c r="F106" s="1"/>
      <c r="G106" s="1"/>
      <c r="H106" s="1"/>
      <c r="I106" s="1"/>
      <c r="J106" s="1"/>
      <c r="K106" s="1"/>
      <c r="L106" s="1"/>
      <c r="M106" s="1"/>
      <c r="N106" s="1"/>
    </row>
    <row r="107" spans="1:14" x14ac:dyDescent="0.3">
      <c r="A107" s="1"/>
      <c r="B107" s="1"/>
      <c r="C107" s="1"/>
      <c r="D107" s="1"/>
      <c r="E107" s="1"/>
      <c r="F107" s="1"/>
      <c r="G107" s="1"/>
      <c r="H107" s="1"/>
      <c r="I107" s="1"/>
      <c r="J107" s="1"/>
      <c r="K107" s="1"/>
      <c r="L107" s="1"/>
      <c r="M107" s="1"/>
      <c r="N107" s="1"/>
    </row>
    <row r="108" spans="1:14" x14ac:dyDescent="0.3">
      <c r="A108" s="1"/>
      <c r="B108" s="1"/>
      <c r="C108" s="1"/>
      <c r="D108" s="1"/>
      <c r="E108" s="1"/>
      <c r="F108" s="1"/>
      <c r="G108" s="1"/>
      <c r="H108" s="1"/>
      <c r="I108" s="1"/>
      <c r="J108" s="1"/>
      <c r="K108" s="1"/>
      <c r="L108" s="1"/>
      <c r="M108" s="1"/>
      <c r="N108" s="1"/>
    </row>
    <row r="109" spans="1:14" x14ac:dyDescent="0.3">
      <c r="A109" s="1"/>
      <c r="B109" s="1"/>
      <c r="C109" s="1"/>
      <c r="D109" s="1"/>
      <c r="E109" s="1"/>
      <c r="F109" s="1"/>
      <c r="G109" s="1"/>
      <c r="H109" s="1"/>
      <c r="I109" s="1"/>
      <c r="J109" s="1"/>
      <c r="K109" s="1"/>
      <c r="L109" s="1"/>
      <c r="M109" s="1"/>
      <c r="N109" s="1"/>
    </row>
    <row r="110" spans="1:14" x14ac:dyDescent="0.3">
      <c r="A110" s="1"/>
      <c r="B110" s="1"/>
      <c r="C110" s="1"/>
      <c r="D110" s="1"/>
      <c r="E110" s="1"/>
      <c r="F110" s="1"/>
      <c r="G110" s="1"/>
      <c r="H110" s="1"/>
      <c r="I110" s="1"/>
      <c r="J110" s="1"/>
      <c r="K110" s="1"/>
      <c r="L110" s="1"/>
      <c r="M110" s="1"/>
      <c r="N110" s="1"/>
    </row>
    <row r="111" spans="1:14" x14ac:dyDescent="0.3">
      <c r="A111" s="1"/>
      <c r="B111" s="1"/>
      <c r="C111" s="1"/>
      <c r="D111" s="1"/>
      <c r="E111" s="1"/>
      <c r="F111" s="1"/>
      <c r="G111" s="1"/>
      <c r="H111" s="1"/>
      <c r="I111" s="1"/>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1"/>
      <c r="C113" s="1"/>
      <c r="D113" s="1"/>
      <c r="E113" s="1"/>
      <c r="F113" s="1"/>
      <c r="G113" s="1"/>
      <c r="H113" s="1"/>
      <c r="I113" s="1"/>
      <c r="J113" s="1"/>
      <c r="K113" s="1"/>
      <c r="L113" s="1"/>
      <c r="M113" s="1"/>
      <c r="N113" s="1"/>
    </row>
    <row r="114" spans="1:14" x14ac:dyDescent="0.3">
      <c r="A114" s="1"/>
      <c r="B114" s="1"/>
      <c r="C114" s="1"/>
      <c r="D114" s="1"/>
      <c r="E114" s="1"/>
      <c r="F114" s="1"/>
      <c r="G114" s="1"/>
      <c r="H114" s="1"/>
      <c r="I114" s="1"/>
      <c r="J114" s="1"/>
      <c r="K114" s="1"/>
      <c r="L114" s="1"/>
      <c r="M114" s="1"/>
      <c r="N114" s="1"/>
    </row>
    <row r="115" spans="1:14" x14ac:dyDescent="0.3">
      <c r="A115" s="1"/>
      <c r="B115" s="1"/>
      <c r="C115" s="1"/>
      <c r="D115" s="1"/>
      <c r="E115" s="1"/>
      <c r="F115" s="1"/>
      <c r="G115" s="1"/>
      <c r="H115" s="1"/>
      <c r="I115" s="1"/>
      <c r="J115" s="1"/>
      <c r="K115" s="1"/>
      <c r="L115" s="1"/>
      <c r="M115" s="1"/>
      <c r="N115" s="1"/>
    </row>
    <row r="116" spans="1:14" x14ac:dyDescent="0.3">
      <c r="A116" s="1"/>
      <c r="B116" s="1"/>
      <c r="C116" s="1"/>
      <c r="D116" s="1"/>
      <c r="E116" s="1"/>
      <c r="F116" s="1"/>
      <c r="G116" s="1"/>
      <c r="H116" s="1"/>
      <c r="I116" s="1"/>
      <c r="J116" s="1"/>
      <c r="K116" s="1"/>
      <c r="L116" s="1"/>
      <c r="M116" s="1"/>
      <c r="N116" s="1"/>
    </row>
    <row r="117" spans="1:14" x14ac:dyDescent="0.3">
      <c r="A117" s="1"/>
      <c r="B117" s="1"/>
      <c r="C117" s="1"/>
      <c r="D117" s="1"/>
      <c r="E117" s="1"/>
      <c r="F117" s="1"/>
      <c r="G117" s="1"/>
      <c r="H117" s="1"/>
      <c r="I117" s="1"/>
      <c r="J117" s="1"/>
      <c r="K117" s="1"/>
      <c r="L117" s="1"/>
      <c r="M117" s="1"/>
      <c r="N117" s="1"/>
    </row>
    <row r="118" spans="1:14" x14ac:dyDescent="0.3">
      <c r="A118" s="1"/>
      <c r="B118" s="1"/>
      <c r="C118" s="1"/>
      <c r="D118" s="1"/>
      <c r="E118" s="1"/>
      <c r="F118" s="1"/>
      <c r="G118" s="1"/>
      <c r="H118" s="1"/>
      <c r="I118" s="1"/>
      <c r="J118" s="1"/>
      <c r="K118" s="1"/>
      <c r="L118" s="1"/>
      <c r="M118" s="1"/>
      <c r="N118" s="1"/>
    </row>
    <row r="119" spans="1:14" x14ac:dyDescent="0.3">
      <c r="A119" s="1"/>
      <c r="B119" s="1"/>
      <c r="C119" s="1"/>
      <c r="D119" s="1"/>
      <c r="E119" s="1"/>
      <c r="F119" s="1"/>
      <c r="G119" s="1"/>
      <c r="H119" s="1"/>
      <c r="I119" s="1"/>
      <c r="J119" s="1"/>
      <c r="K119" s="1"/>
      <c r="L119" s="1"/>
      <c r="M119" s="1"/>
      <c r="N119" s="1"/>
    </row>
    <row r="120" spans="1:14" x14ac:dyDescent="0.3">
      <c r="A120" s="1"/>
      <c r="B120" s="1"/>
      <c r="C120" s="1"/>
      <c r="D120" s="1"/>
      <c r="E120" s="1"/>
      <c r="F120" s="1"/>
      <c r="G120" s="1"/>
      <c r="H120" s="1"/>
      <c r="I120" s="1"/>
      <c r="J120" s="1"/>
      <c r="K120" s="1"/>
      <c r="L120" s="1"/>
      <c r="M120" s="1"/>
      <c r="N120" s="1"/>
    </row>
  </sheetData>
  <mergeCells count="29">
    <mergeCell ref="B62:I62"/>
    <mergeCell ref="C15:D15"/>
    <mergeCell ref="C14:D14"/>
    <mergeCell ref="B59:I59"/>
    <mergeCell ref="C35:D35"/>
    <mergeCell ref="B43:I43"/>
    <mergeCell ref="B58:I58"/>
    <mergeCell ref="B61:I61"/>
    <mergeCell ref="C9:D9"/>
    <mergeCell ref="B57:I57"/>
    <mergeCell ref="C39:D39"/>
    <mergeCell ref="C38:D38"/>
    <mergeCell ref="C34:D34"/>
    <mergeCell ref="B2:I3"/>
    <mergeCell ref="C37:D37"/>
    <mergeCell ref="C13:D13"/>
    <mergeCell ref="B63:I63"/>
    <mergeCell ref="B4:I5"/>
    <mergeCell ref="C12:D12"/>
    <mergeCell ref="C11:D11"/>
    <mergeCell ref="C36:D36"/>
    <mergeCell ref="C17:D17"/>
    <mergeCell ref="B8:H8"/>
    <mergeCell ref="B33:F33"/>
    <mergeCell ref="B20:I20"/>
    <mergeCell ref="C10:D10"/>
    <mergeCell ref="C16:D16"/>
    <mergeCell ref="B60:I60"/>
    <mergeCell ref="C40:D4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0"/>
  <sheetViews>
    <sheetView showGridLines="0" workbookViewId="0">
      <selection activeCell="C54" sqref="C54"/>
    </sheetView>
  </sheetViews>
  <sheetFormatPr defaultRowHeight="14.4" x14ac:dyDescent="0.3"/>
  <cols>
    <col min="1" max="1" width="3" customWidth="1"/>
    <col min="2" max="2" width="37.88671875" customWidth="1"/>
    <col min="3" max="3" width="18" customWidth="1"/>
    <col min="4" max="4" width="21.33203125" customWidth="1"/>
    <col min="5" max="7" width="18" customWidth="1"/>
    <col min="8" max="9" width="22" customWidth="1"/>
  </cols>
  <sheetData>
    <row r="1" spans="1:14" x14ac:dyDescent="0.3">
      <c r="A1" s="1"/>
      <c r="B1" s="1"/>
      <c r="C1" s="1"/>
      <c r="D1" s="1"/>
      <c r="E1" s="1"/>
      <c r="F1" s="1"/>
      <c r="G1" s="1"/>
      <c r="H1" s="1"/>
      <c r="I1" s="1"/>
      <c r="J1" s="1"/>
      <c r="K1" s="1"/>
      <c r="L1" s="1"/>
      <c r="M1" s="1"/>
      <c r="N1" s="1"/>
    </row>
    <row r="2" spans="1:14" x14ac:dyDescent="0.3">
      <c r="A2" s="45"/>
      <c r="B2" s="102" t="s">
        <v>186</v>
      </c>
      <c r="C2" s="74"/>
      <c r="D2" s="74"/>
      <c r="E2" s="74"/>
      <c r="F2" s="74"/>
      <c r="G2" s="74"/>
      <c r="H2" s="74"/>
      <c r="I2" s="74"/>
      <c r="J2" s="1"/>
      <c r="K2" s="1"/>
      <c r="L2" s="1"/>
      <c r="M2" s="1"/>
      <c r="N2" s="1"/>
    </row>
    <row r="3" spans="1:14" x14ac:dyDescent="0.3">
      <c r="A3" s="45"/>
      <c r="B3" s="74"/>
      <c r="C3" s="74"/>
      <c r="D3" s="74"/>
      <c r="E3" s="74"/>
      <c r="F3" s="74"/>
      <c r="G3" s="74"/>
      <c r="H3" s="74"/>
      <c r="I3" s="74"/>
      <c r="J3" s="1"/>
      <c r="K3" s="1"/>
      <c r="L3" s="1"/>
      <c r="M3" s="1"/>
      <c r="N3" s="1"/>
    </row>
    <row r="4" spans="1:14" x14ac:dyDescent="0.3">
      <c r="A4" s="45"/>
      <c r="B4" s="104" t="s">
        <v>187</v>
      </c>
      <c r="C4" s="74"/>
      <c r="D4" s="74"/>
      <c r="E4" s="74"/>
      <c r="F4" s="74"/>
      <c r="G4" s="74"/>
      <c r="H4" s="74"/>
      <c r="I4" s="74"/>
      <c r="J4" s="1"/>
      <c r="K4" s="1"/>
      <c r="L4" s="1"/>
      <c r="M4" s="1"/>
      <c r="N4" s="1"/>
    </row>
    <row r="5" spans="1:14" x14ac:dyDescent="0.3">
      <c r="A5" s="45"/>
      <c r="B5" s="74"/>
      <c r="C5" s="74"/>
      <c r="D5" s="74"/>
      <c r="E5" s="74"/>
      <c r="F5" s="74"/>
      <c r="G5" s="74"/>
      <c r="H5" s="74"/>
      <c r="I5" s="74"/>
      <c r="J5" s="1"/>
      <c r="K5" s="1"/>
      <c r="L5" s="1"/>
      <c r="M5" s="1"/>
      <c r="N5" s="1"/>
    </row>
    <row r="6" spans="1:14" ht="4.05" customHeight="1" x14ac:dyDescent="0.3">
      <c r="A6" s="1"/>
      <c r="B6" s="3"/>
      <c r="C6" s="3"/>
      <c r="D6" s="3"/>
      <c r="E6" s="3"/>
      <c r="F6" s="3"/>
      <c r="G6" s="3"/>
      <c r="H6" s="3"/>
      <c r="I6" s="3"/>
      <c r="J6" s="1"/>
      <c r="K6" s="1"/>
      <c r="L6" s="1"/>
      <c r="M6" s="1"/>
      <c r="N6" s="1"/>
    </row>
    <row r="7" spans="1:14" x14ac:dyDescent="0.3">
      <c r="A7" s="1"/>
      <c r="B7" s="1"/>
      <c r="C7" s="1"/>
      <c r="D7" s="1"/>
      <c r="E7" s="1"/>
      <c r="F7" s="1"/>
      <c r="G7" s="1"/>
      <c r="H7" s="1"/>
      <c r="I7" s="1"/>
      <c r="J7" s="1"/>
      <c r="K7" s="1"/>
      <c r="L7" s="1"/>
      <c r="M7" s="1"/>
      <c r="N7" s="1"/>
    </row>
    <row r="8" spans="1:14" x14ac:dyDescent="0.3">
      <c r="A8" s="1"/>
      <c r="B8" s="82" t="s">
        <v>119</v>
      </c>
      <c r="C8" s="74"/>
      <c r="D8" s="74"/>
      <c r="E8" s="74"/>
      <c r="F8" s="74"/>
      <c r="G8" s="74"/>
      <c r="H8" s="74"/>
      <c r="I8" s="1"/>
      <c r="J8" s="1"/>
      <c r="K8" s="1"/>
      <c r="L8" s="1"/>
      <c r="M8" s="1"/>
      <c r="N8" s="1"/>
    </row>
    <row r="9" spans="1:14" x14ac:dyDescent="0.3">
      <c r="A9" s="1"/>
      <c r="B9" s="7" t="s">
        <v>120</v>
      </c>
      <c r="C9" s="76" t="s">
        <v>188</v>
      </c>
      <c r="D9" s="74"/>
      <c r="E9" s="1"/>
      <c r="F9" s="1"/>
      <c r="G9" s="1"/>
      <c r="H9" s="1"/>
      <c r="I9" s="1"/>
      <c r="J9" s="1"/>
      <c r="K9" s="1"/>
      <c r="L9" s="1"/>
      <c r="M9" s="1"/>
      <c r="N9" s="1"/>
    </row>
    <row r="10" spans="1:14" x14ac:dyDescent="0.3">
      <c r="A10" s="1"/>
      <c r="B10" s="7" t="s">
        <v>122</v>
      </c>
      <c r="C10" s="79" t="s">
        <v>189</v>
      </c>
      <c r="D10" s="74"/>
      <c r="E10" s="1"/>
      <c r="F10" s="1"/>
      <c r="G10" s="1"/>
      <c r="H10" s="1"/>
      <c r="I10" s="1"/>
      <c r="J10" s="1"/>
      <c r="K10" s="1"/>
      <c r="L10" s="1"/>
      <c r="M10" s="1"/>
      <c r="N10" s="1"/>
    </row>
    <row r="11" spans="1:14" x14ac:dyDescent="0.3">
      <c r="A11" s="1"/>
      <c r="B11" s="7" t="s">
        <v>124</v>
      </c>
      <c r="C11" s="76" t="s">
        <v>190</v>
      </c>
      <c r="D11" s="74"/>
      <c r="E11" s="1"/>
      <c r="F11" s="1"/>
      <c r="G11" s="1"/>
      <c r="H11" s="1"/>
      <c r="I11" s="1"/>
      <c r="J11" s="1"/>
      <c r="K11" s="1"/>
      <c r="L11" s="1"/>
      <c r="M11" s="1"/>
      <c r="N11" s="1"/>
    </row>
    <row r="12" spans="1:14" x14ac:dyDescent="0.3">
      <c r="A12" s="1"/>
      <c r="B12" s="7" t="s">
        <v>126</v>
      </c>
      <c r="C12" s="79" t="s">
        <v>191</v>
      </c>
      <c r="D12" s="74"/>
      <c r="E12" s="1"/>
      <c r="F12" s="1"/>
      <c r="G12" s="1"/>
      <c r="H12" s="1"/>
      <c r="I12" s="1"/>
      <c r="J12" s="1"/>
      <c r="K12" s="1"/>
      <c r="L12" s="1"/>
      <c r="M12" s="1"/>
      <c r="N12" s="1"/>
    </row>
    <row r="13" spans="1:14" x14ac:dyDescent="0.3">
      <c r="A13" s="1"/>
      <c r="B13" s="7" t="s">
        <v>128</v>
      </c>
      <c r="C13" s="76" t="s">
        <v>192</v>
      </c>
      <c r="D13" s="74"/>
      <c r="E13" s="1"/>
      <c r="F13" s="1"/>
      <c r="G13" s="1"/>
      <c r="H13" s="1"/>
      <c r="I13" s="1"/>
      <c r="J13" s="1"/>
      <c r="K13" s="1"/>
      <c r="L13" s="1"/>
      <c r="M13" s="1"/>
      <c r="N13" s="1"/>
    </row>
    <row r="14" spans="1:14" x14ac:dyDescent="0.3">
      <c r="A14" s="1"/>
      <c r="B14" s="7" t="s">
        <v>130</v>
      </c>
      <c r="C14" s="79" t="s">
        <v>193</v>
      </c>
      <c r="D14" s="74"/>
      <c r="E14" s="1"/>
      <c r="F14" s="1"/>
      <c r="G14" s="1"/>
      <c r="H14" s="1"/>
      <c r="I14" s="1"/>
      <c r="J14" s="1"/>
      <c r="K14" s="1"/>
      <c r="L14" s="1"/>
      <c r="M14" s="1"/>
      <c r="N14" s="1"/>
    </row>
    <row r="15" spans="1:14" x14ac:dyDescent="0.3">
      <c r="A15" s="1"/>
      <c r="B15" s="7" t="s">
        <v>132</v>
      </c>
      <c r="C15" s="76" t="s">
        <v>194</v>
      </c>
      <c r="D15" s="74"/>
      <c r="E15" s="1"/>
      <c r="F15" s="1"/>
      <c r="G15" s="1"/>
      <c r="H15" s="1"/>
      <c r="I15" s="1"/>
      <c r="J15" s="1"/>
      <c r="K15" s="1"/>
      <c r="L15" s="1"/>
      <c r="M15" s="1"/>
      <c r="N15" s="1"/>
    </row>
    <row r="16" spans="1:14" x14ac:dyDescent="0.3">
      <c r="A16" s="1"/>
      <c r="B16" s="7" t="s">
        <v>134</v>
      </c>
      <c r="C16" s="79" t="s">
        <v>195</v>
      </c>
      <c r="D16" s="74"/>
      <c r="E16" s="1"/>
      <c r="F16" s="1"/>
      <c r="G16" s="1"/>
      <c r="H16" s="1"/>
      <c r="I16" s="1"/>
      <c r="J16" s="1"/>
      <c r="K16" s="1"/>
      <c r="L16" s="1"/>
      <c r="M16" s="1"/>
      <c r="N16" s="1"/>
    </row>
    <row r="17" spans="1:14" x14ac:dyDescent="0.3">
      <c r="A17" s="1"/>
      <c r="B17" s="7" t="s">
        <v>136</v>
      </c>
      <c r="C17" s="76" t="s">
        <v>196</v>
      </c>
      <c r="D17" s="74"/>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103" t="s">
        <v>138</v>
      </c>
      <c r="C20" s="74"/>
      <c r="D20" s="74"/>
      <c r="E20" s="74"/>
      <c r="F20" s="74"/>
      <c r="G20" s="74"/>
      <c r="H20" s="74"/>
      <c r="I20" s="74"/>
      <c r="J20" s="1"/>
      <c r="K20" s="1"/>
      <c r="L20" s="1"/>
      <c r="M20" s="1"/>
      <c r="N20" s="1"/>
    </row>
    <row r="21" spans="1:14" ht="36" customHeight="1" x14ac:dyDescent="0.3">
      <c r="A21" s="1"/>
      <c r="B21" s="20" t="s">
        <v>68</v>
      </c>
      <c r="C21" s="20" t="s">
        <v>139</v>
      </c>
      <c r="D21" s="20" t="s">
        <v>140</v>
      </c>
      <c r="E21" s="20" t="s">
        <v>141</v>
      </c>
      <c r="F21" s="20" t="s">
        <v>142</v>
      </c>
      <c r="G21" s="20" t="s">
        <v>143</v>
      </c>
      <c r="H21" s="20" t="s">
        <v>144</v>
      </c>
      <c r="I21" s="20" t="s">
        <v>145</v>
      </c>
      <c r="J21" s="1"/>
      <c r="K21" s="1"/>
      <c r="L21" s="1"/>
      <c r="M21" s="1"/>
      <c r="N21" s="1"/>
    </row>
    <row r="22" spans="1:14" ht="22.8" x14ac:dyDescent="0.3">
      <c r="A22" s="1"/>
      <c r="B22" s="11" t="s">
        <v>197</v>
      </c>
      <c r="C22" s="28">
        <v>0.25</v>
      </c>
      <c r="D22" s="29">
        <f t="shared" ref="D22:D29" si="0">C22*600</f>
        <v>150</v>
      </c>
      <c r="E22" s="30">
        <f>Assumptions!C28</f>
        <v>7.4999999999999997E-2</v>
      </c>
      <c r="F22" s="30">
        <f>Assumptions!D28</f>
        <v>0.03</v>
      </c>
      <c r="G22" s="31">
        <f t="shared" ref="G22:G29" si="1">C22*E22</f>
        <v>1.8749999999999999E-2</v>
      </c>
      <c r="H22" s="32">
        <f t="shared" ref="H22:H29" si="2">(C22^2)*(F22^2)</f>
        <v>5.6249999999999998E-5</v>
      </c>
      <c r="I22" s="13" t="s">
        <v>198</v>
      </c>
      <c r="J22" s="1"/>
      <c r="K22" s="1"/>
      <c r="L22" s="1"/>
      <c r="M22" s="1"/>
      <c r="N22" s="1"/>
    </row>
    <row r="23" spans="1:14" ht="22.8" x14ac:dyDescent="0.3">
      <c r="A23" s="1"/>
      <c r="B23" s="14" t="s">
        <v>199</v>
      </c>
      <c r="C23" s="28">
        <v>0.2</v>
      </c>
      <c r="D23" s="29">
        <f t="shared" si="0"/>
        <v>120</v>
      </c>
      <c r="E23" s="30">
        <f>Assumptions!C30</f>
        <v>7.1999999999999995E-2</v>
      </c>
      <c r="F23" s="30">
        <f>Assumptions!D30</f>
        <v>0.04</v>
      </c>
      <c r="G23" s="31">
        <f t="shared" si="1"/>
        <v>1.44E-2</v>
      </c>
      <c r="H23" s="32">
        <f t="shared" si="2"/>
        <v>6.4000000000000011E-5</v>
      </c>
      <c r="I23" s="16" t="s">
        <v>200</v>
      </c>
      <c r="J23" s="1"/>
      <c r="K23" s="1"/>
      <c r="L23" s="1"/>
      <c r="M23" s="1"/>
      <c r="N23" s="1"/>
    </row>
    <row r="24" spans="1:14" ht="22.8" x14ac:dyDescent="0.3">
      <c r="A24" s="1"/>
      <c r="B24" s="11" t="s">
        <v>201</v>
      </c>
      <c r="C24" s="28">
        <v>0.15</v>
      </c>
      <c r="D24" s="29">
        <f t="shared" si="0"/>
        <v>90</v>
      </c>
      <c r="E24" s="30">
        <f>Assumptions!C29</f>
        <v>8.5000000000000006E-2</v>
      </c>
      <c r="F24" s="30">
        <f>Assumptions!D29</f>
        <v>0.05</v>
      </c>
      <c r="G24" s="31">
        <f t="shared" si="1"/>
        <v>1.2750000000000001E-2</v>
      </c>
      <c r="H24" s="32">
        <f t="shared" si="2"/>
        <v>5.6250000000000012E-5</v>
      </c>
      <c r="I24" s="13" t="s">
        <v>202</v>
      </c>
      <c r="J24" s="1"/>
      <c r="K24" s="1"/>
      <c r="L24" s="1"/>
      <c r="M24" s="1"/>
      <c r="N24" s="1"/>
    </row>
    <row r="25" spans="1:14" ht="22.8" x14ac:dyDescent="0.3">
      <c r="A25" s="1"/>
      <c r="B25" s="14" t="s">
        <v>146</v>
      </c>
      <c r="C25" s="28">
        <v>0.15</v>
      </c>
      <c r="D25" s="29">
        <f t="shared" si="0"/>
        <v>90</v>
      </c>
      <c r="E25" s="30">
        <f>Assumptions!C23</f>
        <v>0.13</v>
      </c>
      <c r="F25" s="30">
        <f>Assumptions!D23</f>
        <v>0.16</v>
      </c>
      <c r="G25" s="31">
        <f t="shared" si="1"/>
        <v>1.95E-2</v>
      </c>
      <c r="H25" s="32">
        <f t="shared" si="2"/>
        <v>5.7600000000000001E-4</v>
      </c>
      <c r="I25" s="16" t="s">
        <v>203</v>
      </c>
      <c r="J25" s="1"/>
      <c r="K25" s="1"/>
      <c r="L25" s="1"/>
      <c r="M25" s="1"/>
      <c r="N25" s="1"/>
    </row>
    <row r="26" spans="1:14" ht="22.8" x14ac:dyDescent="0.3">
      <c r="A26" s="1"/>
      <c r="B26" s="11" t="s">
        <v>101</v>
      </c>
      <c r="C26" s="28">
        <v>0.1</v>
      </c>
      <c r="D26" s="29">
        <f t="shared" si="0"/>
        <v>60</v>
      </c>
      <c r="E26" s="30">
        <f>Assumptions!C32</f>
        <v>0.1</v>
      </c>
      <c r="F26" s="30">
        <f>Assumptions!D32</f>
        <v>0.13</v>
      </c>
      <c r="G26" s="31">
        <f t="shared" si="1"/>
        <v>1.0000000000000002E-2</v>
      </c>
      <c r="H26" s="32">
        <f t="shared" si="2"/>
        <v>1.6900000000000004E-4</v>
      </c>
      <c r="I26" s="13" t="s">
        <v>204</v>
      </c>
      <c r="J26" s="1"/>
      <c r="K26" s="1"/>
      <c r="L26" s="1"/>
      <c r="M26" s="1"/>
      <c r="N26" s="1"/>
    </row>
    <row r="27" spans="1:14" ht="22.8" x14ac:dyDescent="0.3">
      <c r="A27" s="1"/>
      <c r="B27" s="14" t="s">
        <v>205</v>
      </c>
      <c r="C27" s="28">
        <v>7.0000000000000007E-2</v>
      </c>
      <c r="D27" s="29">
        <f t="shared" si="0"/>
        <v>42.000000000000007</v>
      </c>
      <c r="E27" s="30">
        <f>Assumptions!C31</f>
        <v>0.09</v>
      </c>
      <c r="F27" s="30">
        <f>Assumptions!D31</f>
        <v>0.12</v>
      </c>
      <c r="G27" s="31">
        <f t="shared" si="1"/>
        <v>6.3E-3</v>
      </c>
      <c r="H27" s="32">
        <f t="shared" si="2"/>
        <v>7.0560000000000002E-5</v>
      </c>
      <c r="I27" s="16" t="s">
        <v>206</v>
      </c>
      <c r="J27" s="1"/>
      <c r="K27" s="1"/>
      <c r="L27" s="1"/>
      <c r="M27" s="1"/>
      <c r="N27" s="1"/>
    </row>
    <row r="28" spans="1:14" ht="22.8" x14ac:dyDescent="0.3">
      <c r="A28" s="1"/>
      <c r="B28" s="11" t="s">
        <v>207</v>
      </c>
      <c r="C28" s="28">
        <v>0.05</v>
      </c>
      <c r="D28" s="29">
        <f t="shared" si="0"/>
        <v>30</v>
      </c>
      <c r="E28" s="30">
        <f>Assumptions!C34</f>
        <v>6.7000000000000004E-2</v>
      </c>
      <c r="F28" s="30">
        <f>Assumptions!D34</f>
        <v>5.0000000000000001E-3</v>
      </c>
      <c r="G28" s="31">
        <f t="shared" si="1"/>
        <v>3.3500000000000005E-3</v>
      </c>
      <c r="H28" s="32">
        <f t="shared" si="2"/>
        <v>6.250000000000001E-8</v>
      </c>
      <c r="I28" s="13" t="s">
        <v>208</v>
      </c>
      <c r="J28" s="1"/>
      <c r="K28" s="1"/>
      <c r="L28" s="1"/>
      <c r="M28" s="1"/>
      <c r="N28" s="1"/>
    </row>
    <row r="29" spans="1:14" ht="22.8" x14ac:dyDescent="0.3">
      <c r="A29" s="1"/>
      <c r="B29" s="14" t="s">
        <v>209</v>
      </c>
      <c r="C29" s="28">
        <v>0.03</v>
      </c>
      <c r="D29" s="29">
        <f t="shared" si="0"/>
        <v>18</v>
      </c>
      <c r="E29" s="30">
        <f>Assumptions!C25</f>
        <v>0.13500000000000001</v>
      </c>
      <c r="F29" s="30">
        <f>Assumptions!D25</f>
        <v>0.18</v>
      </c>
      <c r="G29" s="31">
        <f t="shared" si="1"/>
        <v>4.0499999999999998E-3</v>
      </c>
      <c r="H29" s="32">
        <f t="shared" si="2"/>
        <v>2.9159999999999999E-5</v>
      </c>
      <c r="I29" s="16" t="s">
        <v>210</v>
      </c>
      <c r="J29" s="1"/>
      <c r="K29" s="1"/>
      <c r="L29" s="1"/>
      <c r="M29" s="1"/>
      <c r="N29" s="1"/>
    </row>
    <row r="30" spans="1:14" ht="22.05" customHeight="1" x14ac:dyDescent="0.3">
      <c r="A30" s="1"/>
      <c r="B30" s="46" t="s">
        <v>162</v>
      </c>
      <c r="C30" s="47">
        <f>SUM(C22:C29)</f>
        <v>1</v>
      </c>
      <c r="D30" s="48">
        <f>SUM(D22:D29)</f>
        <v>600</v>
      </c>
      <c r="E30" s="49"/>
      <c r="F30" s="49"/>
      <c r="G30" s="47">
        <f>SUM(G22:G29)</f>
        <v>8.9099999999999999E-2</v>
      </c>
      <c r="H30" s="50">
        <f>SUM(H22:H29)</f>
        <v>1.0212825E-3</v>
      </c>
      <c r="I30" s="49"/>
      <c r="J30" s="1"/>
      <c r="K30" s="1"/>
      <c r="L30" s="1"/>
      <c r="M30" s="1"/>
      <c r="N30" s="1"/>
    </row>
    <row r="31" spans="1:14" x14ac:dyDescent="0.3">
      <c r="A31" s="1"/>
      <c r="B31" s="1"/>
      <c r="C31" s="1"/>
      <c r="D31" s="1"/>
      <c r="E31" s="1"/>
      <c r="F31" s="1"/>
      <c r="G31" s="1"/>
      <c r="H31" s="1"/>
      <c r="I31" s="1"/>
      <c r="J31" s="1"/>
      <c r="K31" s="1"/>
      <c r="L31" s="1"/>
      <c r="M31" s="1"/>
      <c r="N31" s="1"/>
    </row>
    <row r="32" spans="1:14" ht="22.05" customHeight="1" x14ac:dyDescent="0.3">
      <c r="A32" s="1"/>
      <c r="B32" s="103" t="s">
        <v>163</v>
      </c>
      <c r="C32" s="74"/>
      <c r="D32" s="74"/>
      <c r="E32" s="74"/>
      <c r="F32" s="74"/>
      <c r="G32" s="1"/>
      <c r="H32" s="1"/>
      <c r="I32" s="1"/>
      <c r="J32" s="1"/>
      <c r="K32" s="1"/>
      <c r="L32" s="1"/>
      <c r="M32" s="1"/>
      <c r="N32" s="1"/>
    </row>
    <row r="33" spans="1:14" x14ac:dyDescent="0.3">
      <c r="A33" s="1"/>
      <c r="B33" s="7" t="s">
        <v>164</v>
      </c>
      <c r="C33" s="88">
        <f>G30</f>
        <v>8.9099999999999999E-2</v>
      </c>
      <c r="D33" s="74"/>
      <c r="E33" s="1"/>
      <c r="F33" s="1"/>
      <c r="G33" s="1"/>
      <c r="H33" s="1"/>
      <c r="I33" s="1"/>
      <c r="J33" s="1"/>
      <c r="K33" s="1"/>
      <c r="L33" s="1"/>
      <c r="M33" s="1"/>
      <c r="N33" s="1"/>
    </row>
    <row r="34" spans="1:14" x14ac:dyDescent="0.3">
      <c r="A34" s="1"/>
      <c r="B34" s="7" t="s">
        <v>165</v>
      </c>
      <c r="C34" s="87">
        <f>SQRT(H30)</f>
        <v>3.1957510854257722E-2</v>
      </c>
      <c r="D34" s="74"/>
      <c r="E34" s="1"/>
      <c r="F34" s="1"/>
      <c r="G34" s="1"/>
      <c r="H34" s="1"/>
      <c r="I34" s="1"/>
      <c r="J34" s="1"/>
      <c r="K34" s="1"/>
      <c r="L34" s="1"/>
      <c r="M34" s="1"/>
      <c r="N34" s="1"/>
    </row>
    <row r="35" spans="1:14" x14ac:dyDescent="0.3">
      <c r="A35" s="1"/>
      <c r="B35" s="7" t="s">
        <v>166</v>
      </c>
      <c r="C35" s="88">
        <f>Assumptions!C8</f>
        <v>7.1999999999999995E-2</v>
      </c>
      <c r="D35" s="74"/>
      <c r="E35" s="1"/>
      <c r="F35" s="1"/>
      <c r="G35" s="1"/>
      <c r="H35" s="1"/>
      <c r="I35" s="1"/>
      <c r="J35" s="1"/>
      <c r="K35" s="1"/>
      <c r="L35" s="1"/>
      <c r="M35" s="1"/>
      <c r="N35" s="1"/>
    </row>
    <row r="36" spans="1:14" x14ac:dyDescent="0.3">
      <c r="A36" s="1"/>
      <c r="B36" s="5" t="s">
        <v>167</v>
      </c>
      <c r="C36" s="80">
        <f>(G30-Assumptions!C8)/SQRT(H30)</f>
        <v>0.53508547890305291</v>
      </c>
      <c r="D36" s="81"/>
      <c r="E36" s="1"/>
      <c r="F36" s="1"/>
      <c r="G36" s="1"/>
      <c r="H36" s="1"/>
      <c r="I36" s="1"/>
      <c r="J36" s="1"/>
      <c r="K36" s="1"/>
      <c r="L36" s="1"/>
      <c r="M36" s="1"/>
      <c r="N36" s="1"/>
    </row>
    <row r="37" spans="1:14" x14ac:dyDescent="0.3">
      <c r="A37" s="1"/>
      <c r="B37" s="7" t="s">
        <v>168</v>
      </c>
      <c r="C37" s="75">
        <v>600</v>
      </c>
      <c r="D37" s="74"/>
      <c r="E37" s="1"/>
      <c r="F37" s="1"/>
      <c r="G37" s="1"/>
      <c r="H37" s="1"/>
      <c r="I37" s="1"/>
      <c r="J37" s="1"/>
      <c r="K37" s="1"/>
      <c r="L37" s="1"/>
      <c r="M37" s="1"/>
      <c r="N37" s="1"/>
    </row>
    <row r="38" spans="1:14" x14ac:dyDescent="0.3">
      <c r="A38" s="1"/>
      <c r="B38" s="7" t="s">
        <v>169</v>
      </c>
      <c r="C38" s="86">
        <f>600*(1+G30)^10</f>
        <v>1408.7334625796439</v>
      </c>
      <c r="D38" s="74"/>
      <c r="E38" s="1"/>
      <c r="F38" s="1"/>
      <c r="G38" s="1"/>
      <c r="H38" s="1"/>
      <c r="I38" s="1"/>
      <c r="J38" s="1"/>
      <c r="K38" s="1"/>
      <c r="L38" s="1"/>
      <c r="M38" s="1"/>
      <c r="N38" s="1"/>
    </row>
    <row r="39" spans="1:14" x14ac:dyDescent="0.3">
      <c r="A39" s="1"/>
      <c r="B39" s="7" t="s">
        <v>170</v>
      </c>
      <c r="C39" s="85">
        <f>600*((1+G30)/(1+Assumptions!C10))^10</f>
        <v>801.62666287745697</v>
      </c>
      <c r="D39" s="74"/>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03" t="s">
        <v>171</v>
      </c>
      <c r="C42" s="74"/>
      <c r="D42" s="74"/>
      <c r="E42" s="74"/>
      <c r="F42" s="74"/>
      <c r="G42" s="74"/>
      <c r="H42" s="74"/>
      <c r="I42" s="74"/>
      <c r="J42" s="1"/>
      <c r="K42" s="1"/>
      <c r="L42" s="1"/>
      <c r="M42" s="1"/>
      <c r="N42" s="1"/>
    </row>
    <row r="43" spans="1:14" ht="36" customHeight="1" x14ac:dyDescent="0.3">
      <c r="A43" s="1"/>
      <c r="B43" s="20" t="s">
        <v>172</v>
      </c>
      <c r="C43" s="20" t="s">
        <v>173</v>
      </c>
      <c r="D43" s="20" t="s">
        <v>174</v>
      </c>
      <c r="E43" s="20" t="s">
        <v>175</v>
      </c>
      <c r="F43" s="20" t="s">
        <v>176</v>
      </c>
      <c r="G43" s="20" t="s">
        <v>177</v>
      </c>
      <c r="H43" s="20" t="s">
        <v>178</v>
      </c>
      <c r="I43" s="1"/>
      <c r="J43" s="1"/>
      <c r="K43" s="1"/>
      <c r="L43" s="1"/>
      <c r="M43" s="1"/>
      <c r="N43" s="1"/>
    </row>
    <row r="44" spans="1:14" x14ac:dyDescent="0.3">
      <c r="A44" s="1"/>
      <c r="B44" s="40">
        <v>1</v>
      </c>
      <c r="C44" s="29">
        <f>600</f>
        <v>600</v>
      </c>
      <c r="D44" s="29">
        <f>C44*G30</f>
        <v>53.46</v>
      </c>
      <c r="E44" s="29">
        <f t="shared" ref="E44:E53" si="3">C44+D44</f>
        <v>653.46</v>
      </c>
      <c r="F44" s="31">
        <f t="shared" ref="F44:F53" si="4">(E44-600)/600</f>
        <v>8.9100000000000054E-2</v>
      </c>
      <c r="G44" s="29">
        <f>E44/(1+Assumptions!C10)^1</f>
        <v>617.63705103969755</v>
      </c>
      <c r="H44" s="31">
        <f>(G30-Assumptions!C10)/(1+Assumptions!C10)</f>
        <v>2.9395085066162559E-2</v>
      </c>
      <c r="I44" s="1"/>
      <c r="J44" s="1"/>
      <c r="K44" s="1"/>
      <c r="L44" s="1"/>
      <c r="M44" s="1"/>
      <c r="N44" s="1"/>
    </row>
    <row r="45" spans="1:14" x14ac:dyDescent="0.3">
      <c r="A45" s="1"/>
      <c r="B45" s="41">
        <v>2</v>
      </c>
      <c r="C45" s="39">
        <f t="shared" ref="C45:C53" si="5">E44</f>
        <v>653.46</v>
      </c>
      <c r="D45" s="39">
        <f>C45*G30</f>
        <v>58.223286000000002</v>
      </c>
      <c r="E45" s="39">
        <f t="shared" si="3"/>
        <v>711.68328600000007</v>
      </c>
      <c r="F45" s="38">
        <f t="shared" si="4"/>
        <v>0.1861388100000001</v>
      </c>
      <c r="G45" s="39">
        <f>E45/(1+Assumptions!C10)^2</f>
        <v>635.79254469502325</v>
      </c>
      <c r="H45" s="38">
        <f>(G30-Assumptions!C10)/(1+Assumptions!C10)</f>
        <v>2.9395085066162559E-2</v>
      </c>
      <c r="I45" s="1"/>
      <c r="J45" s="1"/>
      <c r="K45" s="1"/>
      <c r="L45" s="1"/>
      <c r="M45" s="1"/>
      <c r="N45" s="1"/>
    </row>
    <row r="46" spans="1:14" x14ac:dyDescent="0.3">
      <c r="A46" s="1"/>
      <c r="B46" s="40">
        <v>3</v>
      </c>
      <c r="C46" s="29">
        <f t="shared" si="5"/>
        <v>711.68328600000007</v>
      </c>
      <c r="D46" s="29">
        <f>C46*G30</f>
        <v>63.410980782600006</v>
      </c>
      <c r="E46" s="29">
        <f t="shared" si="3"/>
        <v>775.09426678260002</v>
      </c>
      <c r="F46" s="31">
        <f t="shared" si="4"/>
        <v>0.29182377797100001</v>
      </c>
      <c r="G46" s="29">
        <f>E46/(1+Assumptions!C10)^3</f>
        <v>654.48172063076538</v>
      </c>
      <c r="H46" s="31">
        <f>(G30-Assumptions!C10)/(1+Assumptions!C10)</f>
        <v>2.9395085066162559E-2</v>
      </c>
      <c r="I46" s="1"/>
      <c r="J46" s="1"/>
      <c r="K46" s="1"/>
      <c r="L46" s="1"/>
      <c r="M46" s="1"/>
      <c r="N46" s="1"/>
    </row>
    <row r="47" spans="1:14" x14ac:dyDescent="0.3">
      <c r="A47" s="1"/>
      <c r="B47" s="41">
        <v>4</v>
      </c>
      <c r="C47" s="39">
        <f t="shared" si="5"/>
        <v>775.09426678260002</v>
      </c>
      <c r="D47" s="39">
        <f>C47*G30</f>
        <v>69.060899170329662</v>
      </c>
      <c r="E47" s="39">
        <f t="shared" si="3"/>
        <v>844.15516595292968</v>
      </c>
      <c r="F47" s="38">
        <f t="shared" si="4"/>
        <v>0.40692527658821614</v>
      </c>
      <c r="G47" s="39">
        <f>E47/(1+Assumptions!C10)^4</f>
        <v>673.72026648295525</v>
      </c>
      <c r="H47" s="38">
        <f>(G30-Assumptions!C10)/(1+Assumptions!C10)</f>
        <v>2.9395085066162559E-2</v>
      </c>
      <c r="I47" s="1"/>
      <c r="J47" s="1"/>
      <c r="K47" s="1"/>
      <c r="L47" s="1"/>
      <c r="M47" s="1"/>
      <c r="N47" s="1"/>
    </row>
    <row r="48" spans="1:14" x14ac:dyDescent="0.3">
      <c r="A48" s="1"/>
      <c r="B48" s="40">
        <v>5</v>
      </c>
      <c r="C48" s="29">
        <f t="shared" si="5"/>
        <v>844.15516595292968</v>
      </c>
      <c r="D48" s="29">
        <f>C48*G30</f>
        <v>75.214225286406034</v>
      </c>
      <c r="E48" s="29">
        <f t="shared" si="3"/>
        <v>919.36939123933576</v>
      </c>
      <c r="F48" s="31">
        <f t="shared" si="4"/>
        <v>0.53228231873222631</v>
      </c>
      <c r="G48" s="29">
        <f>E48/(1+Assumptions!C10)^5</f>
        <v>693.52433102701946</v>
      </c>
      <c r="H48" s="31">
        <f>(G30-Assumptions!C10)/(1+Assumptions!C10)</f>
        <v>2.9395085066162559E-2</v>
      </c>
      <c r="I48" s="1"/>
      <c r="J48" s="1"/>
      <c r="K48" s="1"/>
      <c r="L48" s="1"/>
      <c r="M48" s="1"/>
      <c r="N48" s="1"/>
    </row>
    <row r="49" spans="1:14" x14ac:dyDescent="0.3">
      <c r="A49" s="1"/>
      <c r="B49" s="41">
        <v>6</v>
      </c>
      <c r="C49" s="39">
        <f t="shared" si="5"/>
        <v>919.36939123933576</v>
      </c>
      <c r="D49" s="39">
        <f>C49*G30</f>
        <v>81.91581275942481</v>
      </c>
      <c r="E49" s="39">
        <f t="shared" si="3"/>
        <v>1001.2852039987606</v>
      </c>
      <c r="F49" s="38">
        <f t="shared" si="4"/>
        <v>0.6688086733312677</v>
      </c>
      <c r="G49" s="39">
        <f>E49/(1+Assumptions!C10)^6</f>
        <v>713.91053773301212</v>
      </c>
      <c r="H49" s="38">
        <f>(G30-Assumptions!C10)/(1+Assumptions!C10)</f>
        <v>2.9395085066162559E-2</v>
      </c>
      <c r="I49" s="1"/>
      <c r="J49" s="1"/>
      <c r="K49" s="1"/>
      <c r="L49" s="1"/>
      <c r="M49" s="1"/>
      <c r="N49" s="1"/>
    </row>
    <row r="50" spans="1:14" x14ac:dyDescent="0.3">
      <c r="A50" s="1"/>
      <c r="B50" s="40">
        <v>7</v>
      </c>
      <c r="C50" s="29">
        <f t="shared" si="5"/>
        <v>1001.2852039987606</v>
      </c>
      <c r="D50" s="29">
        <f>C50*G30</f>
        <v>89.214511676289575</v>
      </c>
      <c r="E50" s="29">
        <f t="shared" si="3"/>
        <v>1090.4997156750501</v>
      </c>
      <c r="F50" s="31">
        <f t="shared" si="4"/>
        <v>0.81749952612508348</v>
      </c>
      <c r="G50" s="29">
        <f>E50/(1+Assumptions!C10)^7</f>
        <v>734.89599871930386</v>
      </c>
      <c r="H50" s="31">
        <f>(G30-Assumptions!C10)/(1+Assumptions!C10)</f>
        <v>2.9395085066162559E-2</v>
      </c>
      <c r="I50" s="1"/>
      <c r="J50" s="1"/>
      <c r="K50" s="1"/>
      <c r="L50" s="1"/>
      <c r="M50" s="1"/>
      <c r="N50" s="1"/>
    </row>
    <row r="51" spans="1:14" x14ac:dyDescent="0.3">
      <c r="A51" s="1"/>
      <c r="B51" s="41">
        <v>8</v>
      </c>
      <c r="C51" s="39">
        <f t="shared" si="5"/>
        <v>1090.4997156750501</v>
      </c>
      <c r="D51" s="39">
        <f>C51*G30</f>
        <v>97.163524666646964</v>
      </c>
      <c r="E51" s="39">
        <f t="shared" si="3"/>
        <v>1187.663240341697</v>
      </c>
      <c r="F51" s="38">
        <f t="shared" si="4"/>
        <v>0.97943873390282832</v>
      </c>
      <c r="G51" s="39">
        <f>E51/(1+Assumptions!C10)^8</f>
        <v>756.49832911644035</v>
      </c>
      <c r="H51" s="38">
        <f>(G30-Assumptions!C10)/(1+Assumptions!C10)</f>
        <v>2.9395085066162559E-2</v>
      </c>
      <c r="I51" s="1"/>
      <c r="J51" s="1"/>
      <c r="K51" s="1"/>
      <c r="L51" s="1"/>
      <c r="M51" s="1"/>
      <c r="N51" s="1"/>
    </row>
    <row r="52" spans="1:14" x14ac:dyDescent="0.3">
      <c r="A52" s="1"/>
      <c r="B52" s="40">
        <v>9</v>
      </c>
      <c r="C52" s="29">
        <f t="shared" si="5"/>
        <v>1187.663240341697</v>
      </c>
      <c r="D52" s="29">
        <f>C52*G30</f>
        <v>105.8207947144452</v>
      </c>
      <c r="E52" s="29">
        <f t="shared" si="3"/>
        <v>1293.4840350561421</v>
      </c>
      <c r="F52" s="31">
        <f t="shared" si="4"/>
        <v>1.1558067250935702</v>
      </c>
      <c r="G52" s="29">
        <f>E52/(1+Assumptions!C10)^9</f>
        <v>778.73566185322784</v>
      </c>
      <c r="H52" s="31">
        <f>(G30-Assumptions!C10)/(1+Assumptions!C10)</f>
        <v>2.9395085066162559E-2</v>
      </c>
      <c r="I52" s="1"/>
      <c r="J52" s="1"/>
      <c r="K52" s="1"/>
      <c r="L52" s="1"/>
      <c r="M52" s="1"/>
      <c r="N52" s="1"/>
    </row>
    <row r="53" spans="1:14" x14ac:dyDescent="0.3">
      <c r="A53" s="1"/>
      <c r="B53" s="42">
        <v>10</v>
      </c>
      <c r="C53" s="43">
        <f t="shared" si="5"/>
        <v>1293.4840350561421</v>
      </c>
      <c r="D53" s="43">
        <f>C53*G30</f>
        <v>115.24942752350226</v>
      </c>
      <c r="E53" s="43">
        <f t="shared" si="3"/>
        <v>1408.7334625796443</v>
      </c>
      <c r="F53" s="44">
        <f t="shared" si="4"/>
        <v>1.3478891042994072</v>
      </c>
      <c r="G53" s="43">
        <f>E53/(1+Assumptions!C10)^10</f>
        <v>801.62666287745787</v>
      </c>
      <c r="H53" s="44">
        <f>(G30-Assumptions!C10)/(1+Assumptions!C10)</f>
        <v>2.9395085066162559E-2</v>
      </c>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1"/>
      <c r="C55" s="1"/>
      <c r="D55" s="1"/>
      <c r="E55" s="1"/>
      <c r="F55" s="1"/>
      <c r="G55" s="1"/>
      <c r="H55" s="1"/>
      <c r="I55" s="1"/>
      <c r="J55" s="1"/>
      <c r="K55" s="1"/>
      <c r="L55" s="1"/>
      <c r="M55" s="1"/>
      <c r="N55" s="1"/>
    </row>
    <row r="56" spans="1:14" ht="22.05" customHeight="1" x14ac:dyDescent="0.3">
      <c r="A56" s="1"/>
      <c r="B56" s="89" t="s">
        <v>179</v>
      </c>
      <c r="C56" s="74"/>
      <c r="D56" s="74"/>
      <c r="E56" s="74"/>
      <c r="F56" s="74"/>
      <c r="G56" s="74"/>
      <c r="H56" s="74"/>
      <c r="I56" s="74"/>
      <c r="J56" s="1"/>
      <c r="K56" s="1"/>
      <c r="L56" s="1"/>
      <c r="M56" s="1"/>
      <c r="N56" s="1"/>
    </row>
    <row r="57" spans="1:14" ht="28.05" customHeight="1" x14ac:dyDescent="0.3">
      <c r="A57" s="1"/>
      <c r="B57" s="84" t="s">
        <v>211</v>
      </c>
      <c r="C57" s="74"/>
      <c r="D57" s="74"/>
      <c r="E57" s="74"/>
      <c r="F57" s="74"/>
      <c r="G57" s="74"/>
      <c r="H57" s="74"/>
      <c r="I57" s="74"/>
      <c r="J57" s="1"/>
      <c r="K57" s="1"/>
      <c r="L57" s="1"/>
      <c r="M57" s="1"/>
      <c r="N57" s="1"/>
    </row>
    <row r="58" spans="1:14" ht="28.05" customHeight="1" x14ac:dyDescent="0.3">
      <c r="A58" s="1"/>
      <c r="B58" s="83" t="s">
        <v>212</v>
      </c>
      <c r="C58" s="74"/>
      <c r="D58" s="74"/>
      <c r="E58" s="74"/>
      <c r="F58" s="74"/>
      <c r="G58" s="74"/>
      <c r="H58" s="74"/>
      <c r="I58" s="74"/>
      <c r="J58" s="1"/>
      <c r="K58" s="1"/>
      <c r="L58" s="1"/>
      <c r="M58" s="1"/>
      <c r="N58" s="1"/>
    </row>
    <row r="59" spans="1:14" ht="28.05" customHeight="1" x14ac:dyDescent="0.3">
      <c r="A59" s="1"/>
      <c r="B59" s="84" t="s">
        <v>213</v>
      </c>
      <c r="C59" s="74"/>
      <c r="D59" s="74"/>
      <c r="E59" s="74"/>
      <c r="F59" s="74"/>
      <c r="G59" s="74"/>
      <c r="H59" s="74"/>
      <c r="I59" s="74"/>
      <c r="J59" s="1"/>
      <c r="K59" s="1"/>
      <c r="L59" s="1"/>
      <c r="M59" s="1"/>
      <c r="N59" s="1"/>
    </row>
    <row r="60" spans="1:14" ht="28.05" customHeight="1" x14ac:dyDescent="0.3">
      <c r="A60" s="1"/>
      <c r="B60" s="83" t="s">
        <v>214</v>
      </c>
      <c r="C60" s="74"/>
      <c r="D60" s="74"/>
      <c r="E60" s="74"/>
      <c r="F60" s="74"/>
      <c r="G60" s="74"/>
      <c r="H60" s="74"/>
      <c r="I60" s="74"/>
      <c r="J60" s="1"/>
      <c r="K60" s="1"/>
      <c r="L60" s="1"/>
      <c r="M60" s="1"/>
      <c r="N60" s="1"/>
    </row>
    <row r="61" spans="1:14" ht="28.05" customHeight="1" x14ac:dyDescent="0.3">
      <c r="A61" s="1"/>
      <c r="B61" s="84" t="s">
        <v>215</v>
      </c>
      <c r="C61" s="74"/>
      <c r="D61" s="74"/>
      <c r="E61" s="74"/>
      <c r="F61" s="74"/>
      <c r="G61" s="74"/>
      <c r="H61" s="74"/>
      <c r="I61" s="74"/>
      <c r="J61" s="1"/>
      <c r="K61" s="1"/>
      <c r="L61" s="1"/>
      <c r="M61" s="1"/>
      <c r="N61" s="1"/>
    </row>
    <row r="62" spans="1:14" ht="28.05" customHeight="1" x14ac:dyDescent="0.3">
      <c r="A62" s="1"/>
      <c r="B62" s="83" t="s">
        <v>216</v>
      </c>
      <c r="C62" s="74"/>
      <c r="D62" s="74"/>
      <c r="E62" s="74"/>
      <c r="F62" s="74"/>
      <c r="G62" s="74"/>
      <c r="H62" s="74"/>
      <c r="I62" s="74"/>
      <c r="J62" s="1"/>
      <c r="K62" s="1"/>
      <c r="L62" s="1"/>
      <c r="M62" s="1"/>
      <c r="N62" s="1"/>
    </row>
    <row r="63" spans="1:14" x14ac:dyDescent="0.3">
      <c r="A63" s="1"/>
      <c r="B63" s="1"/>
      <c r="C63" s="1"/>
      <c r="D63" s="1"/>
      <c r="E63" s="1"/>
      <c r="F63" s="1"/>
      <c r="G63" s="1"/>
      <c r="H63" s="1"/>
      <c r="I63" s="1"/>
      <c r="J63" s="1"/>
      <c r="K63" s="1"/>
      <c r="L63" s="1"/>
      <c r="M63" s="1"/>
      <c r="N63" s="1"/>
    </row>
    <row r="64" spans="1:14" x14ac:dyDescent="0.3">
      <c r="A64" s="1"/>
      <c r="B64" s="1"/>
      <c r="C64" s="1"/>
      <c r="D64" s="1"/>
      <c r="E64" s="1"/>
      <c r="F64" s="1"/>
      <c r="G64" s="1"/>
      <c r="H64" s="1"/>
      <c r="I64" s="1"/>
      <c r="J64" s="1"/>
      <c r="K64" s="1"/>
      <c r="L64" s="1"/>
      <c r="M64" s="1"/>
      <c r="N64" s="1"/>
    </row>
    <row r="65" spans="1:14" x14ac:dyDescent="0.3">
      <c r="A65" s="1"/>
      <c r="B65" s="1"/>
      <c r="C65" s="1"/>
      <c r="D65" s="1"/>
      <c r="E65" s="1"/>
      <c r="F65" s="1"/>
      <c r="G65" s="1"/>
      <c r="H65" s="1"/>
      <c r="I65" s="1"/>
      <c r="J65" s="1"/>
      <c r="K65" s="1"/>
      <c r="L65" s="1"/>
      <c r="M65" s="1"/>
      <c r="N65" s="1"/>
    </row>
    <row r="66" spans="1:14" x14ac:dyDescent="0.3">
      <c r="A66" s="1"/>
      <c r="B66" s="1"/>
      <c r="C66" s="1"/>
      <c r="D66" s="1"/>
      <c r="E66" s="1"/>
      <c r="F66" s="1"/>
      <c r="G66" s="1"/>
      <c r="H66" s="1"/>
      <c r="I66" s="1"/>
      <c r="J66" s="1"/>
      <c r="K66" s="1"/>
      <c r="L66" s="1"/>
      <c r="M66" s="1"/>
      <c r="N66" s="1"/>
    </row>
    <row r="67" spans="1:14" x14ac:dyDescent="0.3">
      <c r="A67" s="1"/>
      <c r="B67" s="1"/>
      <c r="C67" s="1"/>
      <c r="D67" s="1"/>
      <c r="E67" s="1"/>
      <c r="F67" s="1"/>
      <c r="G67" s="1"/>
      <c r="H67" s="1"/>
      <c r="I67" s="1"/>
      <c r="J67" s="1"/>
      <c r="K67" s="1"/>
      <c r="L67" s="1"/>
      <c r="M67" s="1"/>
      <c r="N67" s="1"/>
    </row>
    <row r="68" spans="1:14" x14ac:dyDescent="0.3">
      <c r="A68" s="1"/>
      <c r="B68" s="1"/>
      <c r="C68" s="1"/>
      <c r="D68" s="1"/>
      <c r="E68" s="1"/>
      <c r="F68" s="1"/>
      <c r="G68" s="1"/>
      <c r="H68" s="1"/>
      <c r="I68" s="1"/>
      <c r="J68" s="1"/>
      <c r="K68" s="1"/>
      <c r="L68" s="1"/>
      <c r="M68" s="1"/>
      <c r="N68" s="1"/>
    </row>
    <row r="69" spans="1:14" x14ac:dyDescent="0.3">
      <c r="A69" s="1"/>
      <c r="B69" s="1"/>
      <c r="C69" s="1"/>
      <c r="D69" s="1"/>
      <c r="E69" s="1"/>
      <c r="F69" s="1"/>
      <c r="G69" s="1"/>
      <c r="H69" s="1"/>
      <c r="I69" s="1"/>
      <c r="J69" s="1"/>
      <c r="K69" s="1"/>
      <c r="L69" s="1"/>
      <c r="M69" s="1"/>
      <c r="N69" s="1"/>
    </row>
    <row r="70" spans="1:14" x14ac:dyDescent="0.3">
      <c r="A70" s="1"/>
      <c r="B70" s="1"/>
      <c r="C70" s="1"/>
      <c r="D70" s="1"/>
      <c r="E70" s="1"/>
      <c r="F70" s="1"/>
      <c r="G70" s="1"/>
      <c r="H70" s="1"/>
      <c r="I70" s="1"/>
      <c r="J70" s="1"/>
      <c r="K70" s="1"/>
      <c r="L70" s="1"/>
      <c r="M70" s="1"/>
      <c r="N70" s="1"/>
    </row>
    <row r="71" spans="1:14" x14ac:dyDescent="0.3">
      <c r="A71" s="1"/>
      <c r="B71" s="1"/>
      <c r="C71" s="1"/>
      <c r="D71" s="1"/>
      <c r="E71" s="1"/>
      <c r="F71" s="1"/>
      <c r="G71" s="1"/>
      <c r="H71" s="1"/>
      <c r="I71" s="1"/>
      <c r="J71" s="1"/>
      <c r="K71" s="1"/>
      <c r="L71" s="1"/>
      <c r="M71" s="1"/>
      <c r="N71" s="1"/>
    </row>
    <row r="72" spans="1:14" x14ac:dyDescent="0.3">
      <c r="A72" s="1"/>
      <c r="B72" s="1"/>
      <c r="C72" s="1"/>
      <c r="D72" s="1"/>
      <c r="E72" s="1"/>
      <c r="F72" s="1"/>
      <c r="G72" s="1"/>
      <c r="H72" s="1"/>
      <c r="I72" s="1"/>
      <c r="J72" s="1"/>
      <c r="K72" s="1"/>
      <c r="L72" s="1"/>
      <c r="M72" s="1"/>
      <c r="N72" s="1"/>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1"/>
      <c r="C75" s="1"/>
      <c r="D75" s="1"/>
      <c r="E75" s="1"/>
      <c r="F75" s="1"/>
      <c r="G75" s="1"/>
      <c r="H75" s="1"/>
      <c r="I75" s="1"/>
      <c r="J75" s="1"/>
      <c r="K75" s="1"/>
      <c r="L75" s="1"/>
      <c r="M75" s="1"/>
      <c r="N75" s="1"/>
    </row>
    <row r="76" spans="1:14" x14ac:dyDescent="0.3">
      <c r="A76" s="1"/>
      <c r="B76" s="1"/>
      <c r="C76" s="1"/>
      <c r="D76" s="1"/>
      <c r="E76" s="1"/>
      <c r="F76" s="1"/>
      <c r="G76" s="1"/>
      <c r="H76" s="1"/>
      <c r="I76" s="1"/>
      <c r="J76" s="1"/>
      <c r="K76" s="1"/>
      <c r="L76" s="1"/>
      <c r="M76" s="1"/>
      <c r="N76" s="1"/>
    </row>
    <row r="77" spans="1:14" x14ac:dyDescent="0.3">
      <c r="A77" s="1"/>
      <c r="B77" s="1"/>
      <c r="C77" s="1"/>
      <c r="D77" s="1"/>
      <c r="E77" s="1"/>
      <c r="F77" s="1"/>
      <c r="G77" s="1"/>
      <c r="H77" s="1"/>
      <c r="I77" s="1"/>
      <c r="J77" s="1"/>
      <c r="K77" s="1"/>
      <c r="L77" s="1"/>
      <c r="M77" s="1"/>
      <c r="N77" s="1"/>
    </row>
    <row r="78" spans="1:14" x14ac:dyDescent="0.3">
      <c r="A78" s="1"/>
      <c r="B78" s="1"/>
      <c r="C78" s="1"/>
      <c r="D78" s="1"/>
      <c r="E78" s="1"/>
      <c r="F78" s="1"/>
      <c r="G78" s="1"/>
      <c r="H78" s="1"/>
      <c r="I78" s="1"/>
      <c r="J78" s="1"/>
      <c r="K78" s="1"/>
      <c r="L78" s="1"/>
      <c r="M78" s="1"/>
      <c r="N78" s="1"/>
    </row>
    <row r="79" spans="1:14" x14ac:dyDescent="0.3">
      <c r="A79" s="1"/>
      <c r="B79" s="1"/>
      <c r="C79" s="1"/>
      <c r="D79" s="1"/>
      <c r="E79" s="1"/>
      <c r="F79" s="1"/>
      <c r="G79" s="1"/>
      <c r="H79" s="1"/>
      <c r="I79" s="1"/>
      <c r="J79" s="1"/>
      <c r="K79" s="1"/>
      <c r="L79" s="1"/>
      <c r="M79" s="1"/>
      <c r="N79" s="1"/>
    </row>
    <row r="80" spans="1:14" x14ac:dyDescent="0.3">
      <c r="A80" s="1"/>
      <c r="B80" s="1"/>
      <c r="C80" s="1"/>
      <c r="D80" s="1"/>
      <c r="E80" s="1"/>
      <c r="F80" s="1"/>
      <c r="G80" s="1"/>
      <c r="H80" s="1"/>
      <c r="I80" s="1"/>
      <c r="J80" s="1"/>
      <c r="K80" s="1"/>
      <c r="L80" s="1"/>
      <c r="M80" s="1"/>
      <c r="N80" s="1"/>
    </row>
    <row r="81" spans="1:14" x14ac:dyDescent="0.3">
      <c r="A81" s="1"/>
      <c r="B81" s="1"/>
      <c r="C81" s="1"/>
      <c r="D81" s="1"/>
      <c r="E81" s="1"/>
      <c r="F81" s="1"/>
      <c r="G81" s="1"/>
      <c r="H81" s="1"/>
      <c r="I81" s="1"/>
      <c r="J81" s="1"/>
      <c r="K81" s="1"/>
      <c r="L81" s="1"/>
      <c r="M81" s="1"/>
      <c r="N81" s="1"/>
    </row>
    <row r="82" spans="1:14" x14ac:dyDescent="0.3">
      <c r="A82" s="1"/>
      <c r="B82" s="1"/>
      <c r="C82" s="1"/>
      <c r="D82" s="1"/>
      <c r="E82" s="1"/>
      <c r="F82" s="1"/>
      <c r="G82" s="1"/>
      <c r="H82" s="1"/>
      <c r="I82" s="1"/>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1"/>
      <c r="C84" s="1"/>
      <c r="D84" s="1"/>
      <c r="E84" s="1"/>
      <c r="F84" s="1"/>
      <c r="G84" s="1"/>
      <c r="H84" s="1"/>
      <c r="I84" s="1"/>
      <c r="J84" s="1"/>
      <c r="K84" s="1"/>
      <c r="L84" s="1"/>
      <c r="M84" s="1"/>
      <c r="N84" s="1"/>
    </row>
    <row r="85" spans="1:14" x14ac:dyDescent="0.3">
      <c r="A85" s="1"/>
      <c r="B85" s="1"/>
      <c r="C85" s="1"/>
      <c r="D85" s="1"/>
      <c r="E85" s="1"/>
      <c r="F85" s="1"/>
      <c r="G85" s="1"/>
      <c r="H85" s="1"/>
      <c r="I85" s="1"/>
      <c r="J85" s="1"/>
      <c r="K85" s="1"/>
      <c r="L85" s="1"/>
      <c r="M85" s="1"/>
      <c r="N85" s="1"/>
    </row>
    <row r="86" spans="1:14" x14ac:dyDescent="0.3">
      <c r="A86" s="1"/>
      <c r="B86" s="1"/>
      <c r="C86" s="1"/>
      <c r="D86" s="1"/>
      <c r="E86" s="1"/>
      <c r="F86" s="1"/>
      <c r="G86" s="1"/>
      <c r="H86" s="1"/>
      <c r="I86" s="1"/>
      <c r="J86" s="1"/>
      <c r="K86" s="1"/>
      <c r="L86" s="1"/>
      <c r="M86" s="1"/>
      <c r="N86" s="1"/>
    </row>
    <row r="87" spans="1:14" x14ac:dyDescent="0.3">
      <c r="A87" s="1"/>
      <c r="B87" s="1"/>
      <c r="C87" s="1"/>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1"/>
      <c r="C90" s="1"/>
      <c r="D90" s="1"/>
      <c r="E90" s="1"/>
      <c r="F90" s="1"/>
      <c r="G90" s="1"/>
      <c r="H90" s="1"/>
      <c r="I90" s="1"/>
      <c r="J90" s="1"/>
      <c r="K90" s="1"/>
      <c r="L90" s="1"/>
      <c r="M90" s="1"/>
      <c r="N90" s="1"/>
    </row>
    <row r="91" spans="1:14" x14ac:dyDescent="0.3">
      <c r="A91" s="1"/>
      <c r="B91" s="1"/>
      <c r="C91" s="1"/>
      <c r="D91" s="1"/>
      <c r="E91" s="1"/>
      <c r="F91" s="1"/>
      <c r="G91" s="1"/>
      <c r="H91" s="1"/>
      <c r="I91" s="1"/>
      <c r="J91" s="1"/>
      <c r="K91" s="1"/>
      <c r="L91" s="1"/>
      <c r="M91" s="1"/>
      <c r="N91" s="1"/>
    </row>
    <row r="92" spans="1:14" x14ac:dyDescent="0.3">
      <c r="A92" s="1"/>
      <c r="B92" s="1"/>
      <c r="C92" s="1"/>
      <c r="D92" s="1"/>
      <c r="E92" s="1"/>
      <c r="F92" s="1"/>
      <c r="G92" s="1"/>
      <c r="H92" s="1"/>
      <c r="I92" s="1"/>
      <c r="J92" s="1"/>
      <c r="K92" s="1"/>
      <c r="L92" s="1"/>
      <c r="M92" s="1"/>
      <c r="N92" s="1"/>
    </row>
    <row r="93" spans="1:14" x14ac:dyDescent="0.3">
      <c r="A93" s="1"/>
      <c r="B93" s="1"/>
      <c r="C93" s="1"/>
      <c r="D93" s="1"/>
      <c r="E93" s="1"/>
      <c r="F93" s="1"/>
      <c r="G93" s="1"/>
      <c r="H93" s="1"/>
      <c r="I93" s="1"/>
      <c r="J93" s="1"/>
      <c r="K93" s="1"/>
      <c r="L93" s="1"/>
      <c r="M93" s="1"/>
      <c r="N93" s="1"/>
    </row>
    <row r="94" spans="1:14" x14ac:dyDescent="0.3">
      <c r="A94" s="1"/>
      <c r="B94" s="1"/>
      <c r="C94" s="1"/>
      <c r="D94" s="1"/>
      <c r="E94" s="1"/>
      <c r="F94" s="1"/>
      <c r="G94" s="1"/>
      <c r="H94" s="1"/>
      <c r="I94" s="1"/>
      <c r="J94" s="1"/>
      <c r="K94" s="1"/>
      <c r="L94" s="1"/>
      <c r="M94" s="1"/>
      <c r="N94" s="1"/>
    </row>
    <row r="95" spans="1:14" x14ac:dyDescent="0.3">
      <c r="A95" s="1"/>
      <c r="B95" s="1"/>
      <c r="C95" s="1"/>
      <c r="D95" s="1"/>
      <c r="E95" s="1"/>
      <c r="F95" s="1"/>
      <c r="G95" s="1"/>
      <c r="H95" s="1"/>
      <c r="I95" s="1"/>
      <c r="J95" s="1"/>
      <c r="K95" s="1"/>
      <c r="L95" s="1"/>
      <c r="M95" s="1"/>
      <c r="N95" s="1"/>
    </row>
    <row r="96" spans="1:14" x14ac:dyDescent="0.3">
      <c r="A96" s="1"/>
      <c r="B96" s="1"/>
      <c r="C96" s="1"/>
      <c r="D96" s="1"/>
      <c r="E96" s="1"/>
      <c r="F96" s="1"/>
      <c r="G96" s="1"/>
      <c r="H96" s="1"/>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1"/>
      <c r="C104" s="1"/>
      <c r="D104" s="1"/>
      <c r="E104" s="1"/>
      <c r="F104" s="1"/>
      <c r="G104" s="1"/>
      <c r="H104" s="1"/>
      <c r="I104" s="1"/>
      <c r="J104" s="1"/>
      <c r="K104" s="1"/>
      <c r="L104" s="1"/>
      <c r="M104" s="1"/>
      <c r="N104" s="1"/>
    </row>
    <row r="105" spans="1:14" x14ac:dyDescent="0.3">
      <c r="A105" s="1"/>
      <c r="B105" s="1"/>
      <c r="C105" s="1"/>
      <c r="D105" s="1"/>
      <c r="E105" s="1"/>
      <c r="F105" s="1"/>
      <c r="G105" s="1"/>
      <c r="H105" s="1"/>
      <c r="I105" s="1"/>
      <c r="J105" s="1"/>
      <c r="K105" s="1"/>
      <c r="L105" s="1"/>
      <c r="M105" s="1"/>
      <c r="N105" s="1"/>
    </row>
    <row r="106" spans="1:14" x14ac:dyDescent="0.3">
      <c r="A106" s="1"/>
      <c r="B106" s="1"/>
      <c r="C106" s="1"/>
      <c r="D106" s="1"/>
      <c r="E106" s="1"/>
      <c r="F106" s="1"/>
      <c r="G106" s="1"/>
      <c r="H106" s="1"/>
      <c r="I106" s="1"/>
      <c r="J106" s="1"/>
      <c r="K106" s="1"/>
      <c r="L106" s="1"/>
      <c r="M106" s="1"/>
      <c r="N106" s="1"/>
    </row>
    <row r="107" spans="1:14" x14ac:dyDescent="0.3">
      <c r="A107" s="1"/>
      <c r="B107" s="1"/>
      <c r="C107" s="1"/>
      <c r="D107" s="1"/>
      <c r="E107" s="1"/>
      <c r="F107" s="1"/>
      <c r="G107" s="1"/>
      <c r="H107" s="1"/>
      <c r="I107" s="1"/>
      <c r="J107" s="1"/>
      <c r="K107" s="1"/>
      <c r="L107" s="1"/>
      <c r="M107" s="1"/>
      <c r="N107" s="1"/>
    </row>
    <row r="108" spans="1:14" x14ac:dyDescent="0.3">
      <c r="A108" s="1"/>
      <c r="B108" s="1"/>
      <c r="C108" s="1"/>
      <c r="D108" s="1"/>
      <c r="E108" s="1"/>
      <c r="F108" s="1"/>
      <c r="G108" s="1"/>
      <c r="H108" s="1"/>
      <c r="I108" s="1"/>
      <c r="J108" s="1"/>
      <c r="K108" s="1"/>
      <c r="L108" s="1"/>
      <c r="M108" s="1"/>
      <c r="N108" s="1"/>
    </row>
    <row r="109" spans="1:14" x14ac:dyDescent="0.3">
      <c r="A109" s="1"/>
      <c r="B109" s="1"/>
      <c r="C109" s="1"/>
      <c r="D109" s="1"/>
      <c r="E109" s="1"/>
      <c r="F109" s="1"/>
      <c r="G109" s="1"/>
      <c r="H109" s="1"/>
      <c r="I109" s="1"/>
      <c r="J109" s="1"/>
      <c r="K109" s="1"/>
      <c r="L109" s="1"/>
      <c r="M109" s="1"/>
      <c r="N109" s="1"/>
    </row>
    <row r="110" spans="1:14" x14ac:dyDescent="0.3">
      <c r="A110" s="1"/>
      <c r="B110" s="1"/>
      <c r="C110" s="1"/>
      <c r="D110" s="1"/>
      <c r="E110" s="1"/>
      <c r="F110" s="1"/>
      <c r="G110" s="1"/>
      <c r="H110" s="1"/>
      <c r="I110" s="1"/>
      <c r="J110" s="1"/>
      <c r="K110" s="1"/>
      <c r="L110" s="1"/>
      <c r="M110" s="1"/>
      <c r="N110" s="1"/>
    </row>
    <row r="111" spans="1:14" x14ac:dyDescent="0.3">
      <c r="A111" s="1"/>
      <c r="B111" s="1"/>
      <c r="C111" s="1"/>
      <c r="D111" s="1"/>
      <c r="E111" s="1"/>
      <c r="F111" s="1"/>
      <c r="G111" s="1"/>
      <c r="H111" s="1"/>
      <c r="I111" s="1"/>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1"/>
      <c r="C113" s="1"/>
      <c r="D113" s="1"/>
      <c r="E113" s="1"/>
      <c r="F113" s="1"/>
      <c r="G113" s="1"/>
      <c r="H113" s="1"/>
      <c r="I113" s="1"/>
      <c r="J113" s="1"/>
      <c r="K113" s="1"/>
      <c r="L113" s="1"/>
      <c r="M113" s="1"/>
      <c r="N113" s="1"/>
    </row>
    <row r="114" spans="1:14" x14ac:dyDescent="0.3">
      <c r="A114" s="1"/>
      <c r="B114" s="1"/>
      <c r="C114" s="1"/>
      <c r="D114" s="1"/>
      <c r="E114" s="1"/>
      <c r="F114" s="1"/>
      <c r="G114" s="1"/>
      <c r="H114" s="1"/>
      <c r="I114" s="1"/>
      <c r="J114" s="1"/>
      <c r="K114" s="1"/>
      <c r="L114" s="1"/>
      <c r="M114" s="1"/>
      <c r="N114" s="1"/>
    </row>
    <row r="115" spans="1:14" x14ac:dyDescent="0.3">
      <c r="A115" s="1"/>
      <c r="B115" s="1"/>
      <c r="C115" s="1"/>
      <c r="D115" s="1"/>
      <c r="E115" s="1"/>
      <c r="F115" s="1"/>
      <c r="G115" s="1"/>
      <c r="H115" s="1"/>
      <c r="I115" s="1"/>
      <c r="J115" s="1"/>
      <c r="K115" s="1"/>
      <c r="L115" s="1"/>
      <c r="M115" s="1"/>
      <c r="N115" s="1"/>
    </row>
    <row r="116" spans="1:14" x14ac:dyDescent="0.3">
      <c r="A116" s="1"/>
      <c r="B116" s="1"/>
      <c r="C116" s="1"/>
      <c r="D116" s="1"/>
      <c r="E116" s="1"/>
      <c r="F116" s="1"/>
      <c r="G116" s="1"/>
      <c r="H116" s="1"/>
      <c r="I116" s="1"/>
      <c r="J116" s="1"/>
      <c r="K116" s="1"/>
      <c r="L116" s="1"/>
      <c r="M116" s="1"/>
      <c r="N116" s="1"/>
    </row>
    <row r="117" spans="1:14" x14ac:dyDescent="0.3">
      <c r="A117" s="1"/>
      <c r="B117" s="1"/>
      <c r="C117" s="1"/>
      <c r="D117" s="1"/>
      <c r="E117" s="1"/>
      <c r="F117" s="1"/>
      <c r="G117" s="1"/>
      <c r="H117" s="1"/>
      <c r="I117" s="1"/>
      <c r="J117" s="1"/>
      <c r="K117" s="1"/>
      <c r="L117" s="1"/>
      <c r="M117" s="1"/>
      <c r="N117" s="1"/>
    </row>
    <row r="118" spans="1:14" x14ac:dyDescent="0.3">
      <c r="A118" s="1"/>
      <c r="B118" s="1"/>
      <c r="C118" s="1"/>
      <c r="D118" s="1"/>
      <c r="E118" s="1"/>
      <c r="F118" s="1"/>
      <c r="G118" s="1"/>
      <c r="H118" s="1"/>
      <c r="I118" s="1"/>
      <c r="J118" s="1"/>
      <c r="K118" s="1"/>
      <c r="L118" s="1"/>
      <c r="M118" s="1"/>
      <c r="N118" s="1"/>
    </row>
    <row r="119" spans="1:14" x14ac:dyDescent="0.3">
      <c r="A119" s="1"/>
      <c r="B119" s="1"/>
      <c r="C119" s="1"/>
      <c r="D119" s="1"/>
      <c r="E119" s="1"/>
      <c r="F119" s="1"/>
      <c r="G119" s="1"/>
      <c r="H119" s="1"/>
      <c r="I119" s="1"/>
      <c r="J119" s="1"/>
      <c r="K119" s="1"/>
      <c r="L119" s="1"/>
      <c r="M119" s="1"/>
      <c r="N119" s="1"/>
    </row>
    <row r="120" spans="1:14" x14ac:dyDescent="0.3">
      <c r="A120" s="1"/>
      <c r="B120" s="1"/>
      <c r="C120" s="1"/>
      <c r="D120" s="1"/>
      <c r="E120" s="1"/>
      <c r="F120" s="1"/>
      <c r="G120" s="1"/>
      <c r="H120" s="1"/>
      <c r="I120" s="1"/>
      <c r="J120" s="1"/>
      <c r="K120" s="1"/>
      <c r="L120" s="1"/>
      <c r="M120" s="1"/>
      <c r="N120" s="1"/>
    </row>
  </sheetData>
  <mergeCells count="29">
    <mergeCell ref="B62:I62"/>
    <mergeCell ref="C15:D15"/>
    <mergeCell ref="C33:D33"/>
    <mergeCell ref="C14:D14"/>
    <mergeCell ref="B59:I59"/>
    <mergeCell ref="C35:D35"/>
    <mergeCell ref="B56:I56"/>
    <mergeCell ref="B58:I58"/>
    <mergeCell ref="B61:I61"/>
    <mergeCell ref="B42:I42"/>
    <mergeCell ref="B60:I60"/>
    <mergeCell ref="C9:D9"/>
    <mergeCell ref="B57:I57"/>
    <mergeCell ref="C39:D39"/>
    <mergeCell ref="C38:D38"/>
    <mergeCell ref="C34:D34"/>
    <mergeCell ref="B2:I3"/>
    <mergeCell ref="C37:D37"/>
    <mergeCell ref="C13:D13"/>
    <mergeCell ref="B32:F32"/>
    <mergeCell ref="B4:I5"/>
    <mergeCell ref="C12:D12"/>
    <mergeCell ref="C11:D11"/>
    <mergeCell ref="C36:D36"/>
    <mergeCell ref="C17:D17"/>
    <mergeCell ref="B8:H8"/>
    <mergeCell ref="B20:I20"/>
    <mergeCell ref="C10:D10"/>
    <mergeCell ref="C16:D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0"/>
  <sheetViews>
    <sheetView showGridLines="0" tabSelected="1" topLeftCell="A37" workbookViewId="0">
      <selection activeCell="C54" sqref="C54"/>
    </sheetView>
  </sheetViews>
  <sheetFormatPr defaultRowHeight="14.4" x14ac:dyDescent="0.3"/>
  <cols>
    <col min="1" max="1" width="3" customWidth="1"/>
    <col min="2" max="2" width="42.88671875" customWidth="1"/>
    <col min="3" max="3" width="18" customWidth="1"/>
    <col min="4" max="4" width="38.21875" customWidth="1"/>
    <col min="5" max="7" width="18" customWidth="1"/>
    <col min="8" max="9" width="22" customWidth="1"/>
  </cols>
  <sheetData>
    <row r="1" spans="1:14" x14ac:dyDescent="0.3">
      <c r="A1" s="1"/>
      <c r="B1" s="1"/>
      <c r="C1" s="1"/>
      <c r="D1" s="1"/>
      <c r="E1" s="1"/>
      <c r="F1" s="1"/>
      <c r="G1" s="1"/>
      <c r="H1" s="1"/>
      <c r="I1" s="1"/>
      <c r="J1" s="1"/>
      <c r="K1" s="1"/>
      <c r="L1" s="1"/>
      <c r="M1" s="1"/>
      <c r="N1" s="1"/>
    </row>
    <row r="2" spans="1:14" x14ac:dyDescent="0.3">
      <c r="A2" s="51"/>
      <c r="B2" s="73" t="s">
        <v>217</v>
      </c>
      <c r="C2" s="74"/>
      <c r="D2" s="74"/>
      <c r="E2" s="74"/>
      <c r="F2" s="74"/>
      <c r="G2" s="74"/>
      <c r="H2" s="74"/>
      <c r="I2" s="74"/>
      <c r="J2" s="1"/>
      <c r="K2" s="1"/>
      <c r="L2" s="1"/>
      <c r="M2" s="1"/>
      <c r="N2" s="1"/>
    </row>
    <row r="3" spans="1:14" x14ac:dyDescent="0.3">
      <c r="A3" s="51"/>
      <c r="B3" s="74"/>
      <c r="C3" s="74"/>
      <c r="D3" s="74"/>
      <c r="E3" s="74"/>
      <c r="F3" s="74"/>
      <c r="G3" s="74"/>
      <c r="H3" s="74"/>
      <c r="I3" s="74"/>
      <c r="J3" s="1"/>
      <c r="K3" s="1"/>
      <c r="L3" s="1"/>
      <c r="M3" s="1"/>
      <c r="N3" s="1"/>
    </row>
    <row r="4" spans="1:14" x14ac:dyDescent="0.3">
      <c r="A4" s="51"/>
      <c r="B4" s="78" t="s">
        <v>218</v>
      </c>
      <c r="C4" s="74"/>
      <c r="D4" s="74"/>
      <c r="E4" s="74"/>
      <c r="F4" s="74"/>
      <c r="G4" s="74"/>
      <c r="H4" s="74"/>
      <c r="I4" s="74"/>
      <c r="J4" s="1"/>
      <c r="K4" s="1"/>
      <c r="L4" s="1"/>
      <c r="M4" s="1"/>
      <c r="N4" s="1"/>
    </row>
    <row r="5" spans="1:14" x14ac:dyDescent="0.3">
      <c r="A5" s="51"/>
      <c r="B5" s="74"/>
      <c r="C5" s="74"/>
      <c r="D5" s="74"/>
      <c r="E5" s="74"/>
      <c r="F5" s="74"/>
      <c r="G5" s="74"/>
      <c r="H5" s="74"/>
      <c r="I5" s="74"/>
      <c r="J5" s="1"/>
      <c r="K5" s="1"/>
      <c r="L5" s="1"/>
      <c r="M5" s="1"/>
      <c r="N5" s="1"/>
    </row>
    <row r="6" spans="1:14" ht="4.05" customHeight="1" x14ac:dyDescent="0.3">
      <c r="A6" s="1"/>
      <c r="B6" s="3"/>
      <c r="C6" s="3"/>
      <c r="D6" s="3"/>
      <c r="E6" s="3"/>
      <c r="F6" s="3"/>
      <c r="G6" s="3"/>
      <c r="H6" s="3"/>
      <c r="I6" s="3"/>
      <c r="J6" s="1"/>
      <c r="K6" s="1"/>
      <c r="L6" s="1"/>
      <c r="M6" s="1"/>
      <c r="N6" s="1"/>
    </row>
    <row r="7" spans="1:14" x14ac:dyDescent="0.3">
      <c r="A7" s="1"/>
      <c r="B7" s="1"/>
      <c r="C7" s="1"/>
      <c r="D7" s="1"/>
      <c r="E7" s="1"/>
      <c r="F7" s="1"/>
      <c r="G7" s="1"/>
      <c r="H7" s="1"/>
      <c r="I7" s="1"/>
      <c r="J7" s="1"/>
      <c r="K7" s="1"/>
      <c r="L7" s="1"/>
      <c r="M7" s="1"/>
      <c r="N7" s="1"/>
    </row>
    <row r="8" spans="1:14" x14ac:dyDescent="0.3">
      <c r="A8" s="1"/>
      <c r="B8" s="82" t="s">
        <v>119</v>
      </c>
      <c r="C8" s="74"/>
      <c r="D8" s="74"/>
      <c r="E8" s="74"/>
      <c r="F8" s="74"/>
      <c r="G8" s="74"/>
      <c r="H8" s="74"/>
      <c r="I8" s="1"/>
      <c r="J8" s="1"/>
      <c r="K8" s="1"/>
      <c r="L8" s="1"/>
      <c r="M8" s="1"/>
      <c r="N8" s="1"/>
    </row>
    <row r="9" spans="1:14" x14ac:dyDescent="0.3">
      <c r="A9" s="1"/>
      <c r="B9" s="7" t="s">
        <v>120</v>
      </c>
      <c r="C9" s="76" t="s">
        <v>219</v>
      </c>
      <c r="D9" s="74"/>
      <c r="E9" s="1"/>
      <c r="F9" s="1"/>
      <c r="G9" s="1"/>
      <c r="H9" s="1"/>
      <c r="I9" s="1"/>
      <c r="J9" s="1"/>
      <c r="K9" s="1"/>
      <c r="L9" s="1"/>
      <c r="M9" s="1"/>
      <c r="N9" s="1"/>
    </row>
    <row r="10" spans="1:14" x14ac:dyDescent="0.3">
      <c r="A10" s="1"/>
      <c r="B10" s="7" t="s">
        <v>122</v>
      </c>
      <c r="C10" s="79" t="s">
        <v>220</v>
      </c>
      <c r="D10" s="74"/>
      <c r="E10" s="1"/>
      <c r="F10" s="1"/>
      <c r="G10" s="1"/>
      <c r="H10" s="1"/>
      <c r="I10" s="1"/>
      <c r="J10" s="1"/>
      <c r="K10" s="1"/>
      <c r="L10" s="1"/>
      <c r="M10" s="1"/>
      <c r="N10" s="1"/>
    </row>
    <row r="11" spans="1:14" x14ac:dyDescent="0.3">
      <c r="A11" s="1"/>
      <c r="B11" s="7" t="s">
        <v>124</v>
      </c>
      <c r="C11" s="76" t="s">
        <v>221</v>
      </c>
      <c r="D11" s="74"/>
      <c r="E11" s="1"/>
      <c r="F11" s="1"/>
      <c r="G11" s="1"/>
      <c r="H11" s="1"/>
      <c r="I11" s="1"/>
      <c r="J11" s="1"/>
      <c r="K11" s="1"/>
      <c r="L11" s="1"/>
      <c r="M11" s="1"/>
      <c r="N11" s="1"/>
    </row>
    <row r="12" spans="1:14" x14ac:dyDescent="0.3">
      <c r="A12" s="1"/>
      <c r="B12" s="7" t="s">
        <v>126</v>
      </c>
      <c r="C12" s="79" t="s">
        <v>222</v>
      </c>
      <c r="D12" s="74"/>
      <c r="E12" s="1"/>
      <c r="F12" s="1"/>
      <c r="G12" s="1"/>
      <c r="H12" s="1"/>
      <c r="I12" s="1"/>
      <c r="J12" s="1"/>
      <c r="K12" s="1"/>
      <c r="L12" s="1"/>
      <c r="M12" s="1"/>
      <c r="N12" s="1"/>
    </row>
    <row r="13" spans="1:14" x14ac:dyDescent="0.3">
      <c r="A13" s="1"/>
      <c r="B13" s="7" t="s">
        <v>128</v>
      </c>
      <c r="C13" s="76" t="s">
        <v>223</v>
      </c>
      <c r="D13" s="74"/>
      <c r="E13" s="1"/>
      <c r="F13" s="1"/>
      <c r="G13" s="1"/>
      <c r="H13" s="1"/>
      <c r="I13" s="1"/>
      <c r="J13" s="1"/>
      <c r="K13" s="1"/>
      <c r="L13" s="1"/>
      <c r="M13" s="1"/>
      <c r="N13" s="1"/>
    </row>
    <row r="14" spans="1:14" x14ac:dyDescent="0.3">
      <c r="A14" s="1"/>
      <c r="B14" s="7" t="s">
        <v>130</v>
      </c>
      <c r="C14" s="79" t="s">
        <v>224</v>
      </c>
      <c r="D14" s="74"/>
      <c r="E14" s="1"/>
      <c r="F14" s="1"/>
      <c r="G14" s="1"/>
      <c r="H14" s="1"/>
      <c r="I14" s="1"/>
      <c r="J14" s="1"/>
      <c r="K14" s="1"/>
      <c r="L14" s="1"/>
      <c r="M14" s="1"/>
      <c r="N14" s="1"/>
    </row>
    <row r="15" spans="1:14" x14ac:dyDescent="0.3">
      <c r="A15" s="1"/>
      <c r="B15" s="7" t="s">
        <v>132</v>
      </c>
      <c r="C15" s="76" t="s">
        <v>225</v>
      </c>
      <c r="D15" s="74"/>
      <c r="E15" s="1"/>
      <c r="F15" s="1"/>
      <c r="G15" s="1"/>
      <c r="H15" s="1"/>
      <c r="I15" s="1"/>
      <c r="J15" s="1"/>
      <c r="K15" s="1"/>
      <c r="L15" s="1"/>
      <c r="M15" s="1"/>
      <c r="N15" s="1"/>
    </row>
    <row r="16" spans="1:14" x14ac:dyDescent="0.3">
      <c r="A16" s="1"/>
      <c r="B16" s="7" t="s">
        <v>134</v>
      </c>
      <c r="C16" s="79" t="s">
        <v>226</v>
      </c>
      <c r="D16" s="74"/>
      <c r="E16" s="1"/>
      <c r="F16" s="1"/>
      <c r="G16" s="1"/>
      <c r="H16" s="1"/>
      <c r="I16" s="1"/>
      <c r="J16" s="1"/>
      <c r="K16" s="1"/>
      <c r="L16" s="1"/>
      <c r="M16" s="1"/>
      <c r="N16" s="1"/>
    </row>
    <row r="17" spans="1:14" x14ac:dyDescent="0.3">
      <c r="A17" s="1"/>
      <c r="B17" s="7" t="s">
        <v>136</v>
      </c>
      <c r="C17" s="76" t="s">
        <v>227</v>
      </c>
      <c r="D17" s="74"/>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77" t="s">
        <v>138</v>
      </c>
      <c r="C20" s="74"/>
      <c r="D20" s="74"/>
      <c r="E20" s="74"/>
      <c r="F20" s="74"/>
      <c r="G20" s="74"/>
      <c r="H20" s="74"/>
      <c r="I20" s="74"/>
      <c r="J20" s="1"/>
      <c r="K20" s="1"/>
      <c r="L20" s="1"/>
      <c r="M20" s="1"/>
      <c r="N20" s="1"/>
    </row>
    <row r="21" spans="1:14" ht="36" customHeight="1" x14ac:dyDescent="0.3">
      <c r="A21" s="1"/>
      <c r="B21" s="20" t="s">
        <v>68</v>
      </c>
      <c r="C21" s="20" t="s">
        <v>139</v>
      </c>
      <c r="D21" s="20" t="s">
        <v>140</v>
      </c>
      <c r="E21" s="20" t="s">
        <v>141</v>
      </c>
      <c r="F21" s="20" t="s">
        <v>142</v>
      </c>
      <c r="G21" s="20" t="s">
        <v>143</v>
      </c>
      <c r="H21" s="20" t="s">
        <v>144</v>
      </c>
      <c r="I21" s="20" t="s">
        <v>145</v>
      </c>
      <c r="J21" s="1"/>
      <c r="K21" s="1"/>
      <c r="L21" s="1"/>
      <c r="M21" s="1"/>
      <c r="N21" s="1"/>
    </row>
    <row r="22" spans="1:14" ht="22.8" x14ac:dyDescent="0.3">
      <c r="A22" s="1"/>
      <c r="B22" s="11" t="s">
        <v>228</v>
      </c>
      <c r="C22" s="28">
        <v>0.3</v>
      </c>
      <c r="D22" s="29">
        <f t="shared" ref="D22:D29" si="0">C22*400</f>
        <v>120</v>
      </c>
      <c r="E22" s="30">
        <f>Assumptions!C34</f>
        <v>6.7000000000000004E-2</v>
      </c>
      <c r="F22" s="30">
        <f>Assumptions!D34</f>
        <v>5.0000000000000001E-3</v>
      </c>
      <c r="G22" s="31">
        <f t="shared" ref="G22:G29" si="1">C22*E22</f>
        <v>2.01E-2</v>
      </c>
      <c r="H22" s="32">
        <f t="shared" ref="H22:H29" si="2">(C22^2)*(F22^2)</f>
        <v>2.2500000000000001E-6</v>
      </c>
      <c r="I22" s="13" t="s">
        <v>229</v>
      </c>
      <c r="J22" s="1"/>
      <c r="K22" s="1"/>
      <c r="L22" s="1"/>
      <c r="M22" s="1"/>
      <c r="N22" s="1"/>
    </row>
    <row r="23" spans="1:14" ht="22.8" x14ac:dyDescent="0.3">
      <c r="A23" s="1"/>
      <c r="B23" s="14" t="s">
        <v>80</v>
      </c>
      <c r="C23" s="28">
        <v>0.2</v>
      </c>
      <c r="D23" s="29">
        <f t="shared" si="0"/>
        <v>80</v>
      </c>
      <c r="E23" s="30">
        <f>Assumptions!C25</f>
        <v>0.13500000000000001</v>
      </c>
      <c r="F23" s="30">
        <f>Assumptions!D25</f>
        <v>0.18</v>
      </c>
      <c r="G23" s="31">
        <f t="shared" si="1"/>
        <v>2.7000000000000003E-2</v>
      </c>
      <c r="H23" s="32">
        <f t="shared" si="2"/>
        <v>1.2960000000000003E-3</v>
      </c>
      <c r="I23" s="16" t="s">
        <v>230</v>
      </c>
      <c r="J23" s="1"/>
      <c r="K23" s="1"/>
      <c r="L23" s="1"/>
      <c r="M23" s="1"/>
      <c r="N23" s="1"/>
    </row>
    <row r="24" spans="1:14" ht="22.8" x14ac:dyDescent="0.3">
      <c r="A24" s="1"/>
      <c r="B24" s="11" t="s">
        <v>231</v>
      </c>
      <c r="C24" s="28">
        <v>0.15</v>
      </c>
      <c r="D24" s="29">
        <f t="shared" si="0"/>
        <v>60</v>
      </c>
      <c r="E24" s="30">
        <f>Assumptions!C29</f>
        <v>8.5000000000000006E-2</v>
      </c>
      <c r="F24" s="30">
        <f>Assumptions!D29</f>
        <v>0.05</v>
      </c>
      <c r="G24" s="31">
        <f t="shared" si="1"/>
        <v>1.2750000000000001E-2</v>
      </c>
      <c r="H24" s="32">
        <f t="shared" si="2"/>
        <v>5.6250000000000012E-5</v>
      </c>
      <c r="I24" s="13" t="s">
        <v>232</v>
      </c>
      <c r="J24" s="1"/>
      <c r="K24" s="1"/>
      <c r="L24" s="1"/>
      <c r="M24" s="1"/>
      <c r="N24" s="1"/>
    </row>
    <row r="25" spans="1:14" ht="22.8" x14ac:dyDescent="0.3">
      <c r="A25" s="1"/>
      <c r="B25" s="14" t="s">
        <v>233</v>
      </c>
      <c r="C25" s="28">
        <v>0.12</v>
      </c>
      <c r="D25" s="29">
        <f t="shared" si="0"/>
        <v>48</v>
      </c>
      <c r="E25" s="30">
        <f>Assumptions!C31</f>
        <v>0.09</v>
      </c>
      <c r="F25" s="30">
        <f>Assumptions!D31</f>
        <v>0.12</v>
      </c>
      <c r="G25" s="31">
        <f t="shared" si="1"/>
        <v>1.0799999999999999E-2</v>
      </c>
      <c r="H25" s="32">
        <f t="shared" si="2"/>
        <v>2.0735999999999999E-4</v>
      </c>
      <c r="I25" s="16" t="s">
        <v>234</v>
      </c>
      <c r="J25" s="1"/>
      <c r="K25" s="1"/>
      <c r="L25" s="1"/>
      <c r="M25" s="1"/>
      <c r="N25" s="1"/>
    </row>
    <row r="26" spans="1:14" ht="22.8" x14ac:dyDescent="0.3">
      <c r="A26" s="1"/>
      <c r="B26" s="11" t="s">
        <v>75</v>
      </c>
      <c r="C26" s="28">
        <v>0.1</v>
      </c>
      <c r="D26" s="29">
        <f t="shared" si="0"/>
        <v>40</v>
      </c>
      <c r="E26" s="30">
        <f>Assumptions!C23</f>
        <v>0.13</v>
      </c>
      <c r="F26" s="30">
        <f>Assumptions!D23</f>
        <v>0.16</v>
      </c>
      <c r="G26" s="31">
        <f t="shared" si="1"/>
        <v>1.3000000000000001E-2</v>
      </c>
      <c r="H26" s="32">
        <f t="shared" si="2"/>
        <v>2.5600000000000004E-4</v>
      </c>
      <c r="I26" s="13" t="s">
        <v>235</v>
      </c>
      <c r="J26" s="1"/>
      <c r="K26" s="1"/>
      <c r="L26" s="1"/>
      <c r="M26" s="1"/>
      <c r="N26" s="1"/>
    </row>
    <row r="27" spans="1:14" ht="22.8" x14ac:dyDescent="0.3">
      <c r="A27" s="1"/>
      <c r="B27" s="14" t="s">
        <v>236</v>
      </c>
      <c r="C27" s="28">
        <v>7.0000000000000007E-2</v>
      </c>
      <c r="D27" s="29">
        <f t="shared" si="0"/>
        <v>28.000000000000004</v>
      </c>
      <c r="E27" s="30">
        <f>Assumptions!C27</f>
        <v>0.18</v>
      </c>
      <c r="F27" s="30">
        <f>Assumptions!D27</f>
        <v>0.2</v>
      </c>
      <c r="G27" s="31">
        <f t="shared" si="1"/>
        <v>1.26E-2</v>
      </c>
      <c r="H27" s="32">
        <f t="shared" si="2"/>
        <v>1.9600000000000007E-4</v>
      </c>
      <c r="I27" s="16" t="s">
        <v>237</v>
      </c>
      <c r="J27" s="1"/>
      <c r="K27" s="1"/>
      <c r="L27" s="1"/>
      <c r="M27" s="1"/>
      <c r="N27" s="1"/>
    </row>
    <row r="28" spans="1:14" ht="22.8" x14ac:dyDescent="0.3">
      <c r="A28" s="1"/>
      <c r="B28" s="11" t="s">
        <v>160</v>
      </c>
      <c r="C28" s="28">
        <v>0.04</v>
      </c>
      <c r="D28" s="29">
        <f t="shared" si="0"/>
        <v>16</v>
      </c>
      <c r="E28" s="30">
        <f>Assumptions!C33</f>
        <v>0.12</v>
      </c>
      <c r="F28" s="30">
        <f>Assumptions!D33</f>
        <v>0.15</v>
      </c>
      <c r="G28" s="31">
        <f t="shared" si="1"/>
        <v>4.7999999999999996E-3</v>
      </c>
      <c r="H28" s="32">
        <f t="shared" si="2"/>
        <v>3.6000000000000001E-5</v>
      </c>
      <c r="I28" s="13" t="s">
        <v>238</v>
      </c>
      <c r="J28" s="1"/>
      <c r="K28" s="1"/>
      <c r="L28" s="1"/>
      <c r="M28" s="1"/>
      <c r="N28" s="1"/>
    </row>
    <row r="29" spans="1:14" ht="22.8" x14ac:dyDescent="0.3">
      <c r="A29" s="1"/>
      <c r="B29" s="14" t="s">
        <v>101</v>
      </c>
      <c r="C29" s="28">
        <v>0.02</v>
      </c>
      <c r="D29" s="29">
        <f t="shared" si="0"/>
        <v>8</v>
      </c>
      <c r="E29" s="30">
        <f>Assumptions!C32</f>
        <v>0.1</v>
      </c>
      <c r="F29" s="30">
        <f>Assumptions!D32</f>
        <v>0.13</v>
      </c>
      <c r="G29" s="31">
        <f t="shared" si="1"/>
        <v>2E-3</v>
      </c>
      <c r="H29" s="32">
        <f t="shared" si="2"/>
        <v>6.7600000000000013E-6</v>
      </c>
      <c r="I29" s="16" t="s">
        <v>239</v>
      </c>
      <c r="J29" s="1"/>
      <c r="K29" s="1"/>
      <c r="L29" s="1"/>
      <c r="M29" s="1"/>
      <c r="N29" s="1"/>
    </row>
    <row r="30" spans="1:14" ht="22.05" customHeight="1" x14ac:dyDescent="0.3">
      <c r="A30" s="1"/>
      <c r="B30" s="52" t="s">
        <v>162</v>
      </c>
      <c r="C30" s="53">
        <f>SUM(C22:C29)</f>
        <v>1</v>
      </c>
      <c r="D30" s="54">
        <f>SUM(D22:D29)</f>
        <v>400</v>
      </c>
      <c r="E30" s="55"/>
      <c r="F30" s="55"/>
      <c r="G30" s="53">
        <f>SUM(G22:G29)</f>
        <v>0.10305</v>
      </c>
      <c r="H30" s="56">
        <f>SUM(H22:H29)</f>
        <v>2.0566200000000008E-3</v>
      </c>
      <c r="I30" s="55"/>
      <c r="J30" s="1"/>
      <c r="K30" s="1"/>
      <c r="L30" s="1"/>
      <c r="M30" s="1"/>
      <c r="N30" s="1"/>
    </row>
    <row r="31" spans="1:14" x14ac:dyDescent="0.3">
      <c r="A31" s="1"/>
      <c r="B31" s="1"/>
      <c r="C31" s="1"/>
      <c r="D31" s="1"/>
      <c r="E31" s="1"/>
      <c r="F31" s="1"/>
      <c r="G31" s="1"/>
      <c r="H31" s="1"/>
      <c r="I31" s="1"/>
      <c r="J31" s="1"/>
      <c r="K31" s="1"/>
      <c r="L31" s="1"/>
      <c r="M31" s="1"/>
      <c r="N31" s="1"/>
    </row>
    <row r="32" spans="1:14" ht="22.05" customHeight="1" x14ac:dyDescent="0.3">
      <c r="A32" s="1"/>
      <c r="B32" s="77" t="s">
        <v>163</v>
      </c>
      <c r="C32" s="74"/>
      <c r="D32" s="74"/>
      <c r="E32" s="74"/>
      <c r="F32" s="74"/>
      <c r="G32" s="1"/>
      <c r="H32" s="1"/>
      <c r="I32" s="1"/>
      <c r="J32" s="1"/>
      <c r="K32" s="1"/>
      <c r="L32" s="1"/>
      <c r="M32" s="1"/>
      <c r="N32" s="1"/>
    </row>
    <row r="33" spans="1:14" x14ac:dyDescent="0.3">
      <c r="A33" s="1"/>
      <c r="B33" s="7" t="s">
        <v>164</v>
      </c>
      <c r="C33" s="88">
        <f>G30</f>
        <v>0.10305</v>
      </c>
      <c r="D33" s="74"/>
      <c r="E33" s="1"/>
      <c r="F33" s="1"/>
      <c r="G33" s="1"/>
      <c r="H33" s="1"/>
      <c r="I33" s="1"/>
      <c r="J33" s="1"/>
      <c r="K33" s="1"/>
      <c r="L33" s="1"/>
      <c r="M33" s="1"/>
      <c r="N33" s="1"/>
    </row>
    <row r="34" spans="1:14" x14ac:dyDescent="0.3">
      <c r="A34" s="1"/>
      <c r="B34" s="7" t="s">
        <v>165</v>
      </c>
      <c r="C34" s="87">
        <f>SQRT(H30)</f>
        <v>4.5349972436595824E-2</v>
      </c>
      <c r="D34" s="74"/>
      <c r="E34" s="1"/>
      <c r="F34" s="1"/>
      <c r="G34" s="1"/>
      <c r="H34" s="1"/>
      <c r="I34" s="1"/>
      <c r="J34" s="1"/>
      <c r="K34" s="1"/>
      <c r="L34" s="1"/>
      <c r="M34" s="1"/>
      <c r="N34" s="1"/>
    </row>
    <row r="35" spans="1:14" x14ac:dyDescent="0.3">
      <c r="A35" s="1"/>
      <c r="B35" s="7" t="s">
        <v>166</v>
      </c>
      <c r="C35" s="88">
        <f>Assumptions!C8</f>
        <v>7.1999999999999995E-2</v>
      </c>
      <c r="D35" s="74"/>
      <c r="E35" s="1"/>
      <c r="F35" s="1"/>
      <c r="G35" s="1"/>
      <c r="H35" s="1"/>
      <c r="I35" s="1"/>
      <c r="J35" s="1"/>
      <c r="K35" s="1"/>
      <c r="L35" s="1"/>
      <c r="M35" s="1"/>
      <c r="N35" s="1"/>
    </row>
    <row r="36" spans="1:14" x14ac:dyDescent="0.3">
      <c r="A36" s="1"/>
      <c r="B36" s="5" t="s">
        <v>167</v>
      </c>
      <c r="C36" s="80">
        <f>(G30-Assumptions!C8)/SQRT(H30)</f>
        <v>0.68467516807008588</v>
      </c>
      <c r="D36" s="81"/>
      <c r="E36" s="1"/>
      <c r="F36" s="1"/>
      <c r="G36" s="1"/>
      <c r="H36" s="1"/>
      <c r="I36" s="1"/>
      <c r="J36" s="1"/>
      <c r="K36" s="1"/>
      <c r="L36" s="1"/>
      <c r="M36" s="1"/>
      <c r="N36" s="1"/>
    </row>
    <row r="37" spans="1:14" x14ac:dyDescent="0.3">
      <c r="A37" s="1"/>
      <c r="B37" s="7" t="s">
        <v>168</v>
      </c>
      <c r="C37" s="75">
        <v>400</v>
      </c>
      <c r="D37" s="74"/>
      <c r="E37" s="1"/>
      <c r="F37" s="1"/>
      <c r="G37" s="1"/>
      <c r="H37" s="1"/>
      <c r="I37" s="1"/>
      <c r="J37" s="1"/>
      <c r="K37" s="1"/>
      <c r="L37" s="1"/>
      <c r="M37" s="1"/>
      <c r="N37" s="1"/>
    </row>
    <row r="38" spans="1:14" x14ac:dyDescent="0.3">
      <c r="A38" s="1"/>
      <c r="B38" s="7" t="s">
        <v>169</v>
      </c>
      <c r="C38" s="86">
        <f>400*(1+G30)^10</f>
        <v>1066.6255459495692</v>
      </c>
      <c r="D38" s="74"/>
      <c r="E38" s="1"/>
      <c r="F38" s="1"/>
      <c r="G38" s="1"/>
      <c r="H38" s="1"/>
      <c r="I38" s="1"/>
      <c r="J38" s="1"/>
      <c r="K38" s="1"/>
      <c r="L38" s="1"/>
      <c r="M38" s="1"/>
      <c r="N38" s="1"/>
    </row>
    <row r="39" spans="1:14" x14ac:dyDescent="0.3">
      <c r="A39" s="1"/>
      <c r="B39" s="7" t="s">
        <v>170</v>
      </c>
      <c r="C39" s="85">
        <f>400*((1+G30)/(1+Assumptions!C10))^10</f>
        <v>606.95333762688904</v>
      </c>
      <c r="D39" s="74"/>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77" t="s">
        <v>171</v>
      </c>
      <c r="C42" s="74"/>
      <c r="D42" s="74"/>
      <c r="E42" s="74"/>
      <c r="F42" s="74"/>
      <c r="G42" s="74"/>
      <c r="H42" s="74"/>
      <c r="I42" s="74"/>
      <c r="J42" s="1"/>
      <c r="K42" s="1"/>
      <c r="L42" s="1"/>
      <c r="M42" s="1"/>
      <c r="N42" s="1"/>
    </row>
    <row r="43" spans="1:14" ht="36" customHeight="1" x14ac:dyDescent="0.3">
      <c r="A43" s="1"/>
      <c r="B43" s="20" t="s">
        <v>172</v>
      </c>
      <c r="C43" s="20" t="s">
        <v>173</v>
      </c>
      <c r="D43" s="20" t="s">
        <v>174</v>
      </c>
      <c r="E43" s="20" t="s">
        <v>175</v>
      </c>
      <c r="F43" s="20" t="s">
        <v>176</v>
      </c>
      <c r="G43" s="20" t="s">
        <v>177</v>
      </c>
      <c r="H43" s="20" t="s">
        <v>178</v>
      </c>
      <c r="I43" s="1"/>
      <c r="J43" s="1"/>
      <c r="K43" s="1"/>
      <c r="L43" s="1"/>
      <c r="M43" s="1"/>
      <c r="N43" s="1"/>
    </row>
    <row r="44" spans="1:14" x14ac:dyDescent="0.3">
      <c r="A44" s="1"/>
      <c r="B44" s="40">
        <v>1</v>
      </c>
      <c r="C44" s="29">
        <f>400</f>
        <v>400</v>
      </c>
      <c r="D44" s="29">
        <f>C44*G30</f>
        <v>41.22</v>
      </c>
      <c r="E44" s="29">
        <f t="shared" ref="E44:E53" si="3">C44+D44</f>
        <v>441.22</v>
      </c>
      <c r="F44" s="31">
        <f t="shared" ref="F44:F53" si="4">(E44-400)/400</f>
        <v>0.10305000000000007</v>
      </c>
      <c r="G44" s="29">
        <f>E44/(1+Assumptions!C10)^1</f>
        <v>417.0321361058601</v>
      </c>
      <c r="H44" s="31">
        <f>(G30-Assumptions!C10)/(1+Assumptions!C10)</f>
        <v>4.2580340264650275E-2</v>
      </c>
      <c r="I44" s="1"/>
      <c r="J44" s="1"/>
      <c r="K44" s="1"/>
      <c r="L44" s="1"/>
      <c r="M44" s="1"/>
      <c r="N44" s="1"/>
    </row>
    <row r="45" spans="1:14" x14ac:dyDescent="0.3">
      <c r="A45" s="1"/>
      <c r="B45" s="41">
        <v>2</v>
      </c>
      <c r="C45" s="39">
        <f t="shared" ref="C45:C53" si="5">E44</f>
        <v>441.22</v>
      </c>
      <c r="D45" s="39">
        <f>C45*G30</f>
        <v>45.467721000000004</v>
      </c>
      <c r="E45" s="39">
        <f t="shared" si="3"/>
        <v>486.68772100000001</v>
      </c>
      <c r="F45" s="38">
        <f t="shared" si="4"/>
        <v>0.21671930250000002</v>
      </c>
      <c r="G45" s="39">
        <f>E45/(1+Assumptions!C10)^2</f>
        <v>434.7895063625416</v>
      </c>
      <c r="H45" s="38">
        <f>(G30-Assumptions!C10)/(1+Assumptions!C10)</f>
        <v>4.2580340264650275E-2</v>
      </c>
      <c r="I45" s="1"/>
      <c r="J45" s="1"/>
      <c r="K45" s="1"/>
      <c r="L45" s="1"/>
      <c r="M45" s="1"/>
      <c r="N45" s="1"/>
    </row>
    <row r="46" spans="1:14" x14ac:dyDescent="0.3">
      <c r="A46" s="1"/>
      <c r="B46" s="40">
        <v>3</v>
      </c>
      <c r="C46" s="29">
        <f t="shared" si="5"/>
        <v>486.68772100000001</v>
      </c>
      <c r="D46" s="29">
        <f>C46*G30</f>
        <v>50.15316964905</v>
      </c>
      <c r="E46" s="29">
        <f t="shared" si="3"/>
        <v>536.84089064905004</v>
      </c>
      <c r="F46" s="31">
        <f t="shared" si="4"/>
        <v>0.34210222662262507</v>
      </c>
      <c r="G46" s="29">
        <f>E46/(1+Assumptions!C10)^3</f>
        <v>453.30299148695798</v>
      </c>
      <c r="H46" s="31">
        <f>(G30-Assumptions!C10)/(1+Assumptions!C10)</f>
        <v>4.2580340264650275E-2</v>
      </c>
      <c r="I46" s="1"/>
      <c r="J46" s="1"/>
      <c r="K46" s="1"/>
      <c r="L46" s="1"/>
      <c r="M46" s="1"/>
      <c r="N46" s="1"/>
    </row>
    <row r="47" spans="1:14" x14ac:dyDescent="0.3">
      <c r="A47" s="1"/>
      <c r="B47" s="41">
        <v>4</v>
      </c>
      <c r="C47" s="39">
        <f t="shared" si="5"/>
        <v>536.84089064905004</v>
      </c>
      <c r="D47" s="39">
        <f>C47*G30</f>
        <v>55.321453781384605</v>
      </c>
      <c r="E47" s="39">
        <f t="shared" si="3"/>
        <v>592.16234443043459</v>
      </c>
      <c r="F47" s="38">
        <f t="shared" si="4"/>
        <v>0.48040586107608646</v>
      </c>
      <c r="G47" s="39">
        <f>E47/(1+Assumptions!C10)^4</f>
        <v>472.60478710745645</v>
      </c>
      <c r="H47" s="38">
        <f>(G30-Assumptions!C10)/(1+Assumptions!C10)</f>
        <v>4.2580340264650275E-2</v>
      </c>
      <c r="I47" s="1"/>
      <c r="J47" s="1"/>
      <c r="K47" s="1"/>
      <c r="L47" s="1"/>
      <c r="M47" s="1"/>
      <c r="N47" s="1"/>
    </row>
    <row r="48" spans="1:14" x14ac:dyDescent="0.3">
      <c r="A48" s="1"/>
      <c r="B48" s="40">
        <v>5</v>
      </c>
      <c r="C48" s="29">
        <f t="shared" si="5"/>
        <v>592.16234443043459</v>
      </c>
      <c r="D48" s="29">
        <f>C48*G30</f>
        <v>61.022329593556286</v>
      </c>
      <c r="E48" s="29">
        <f t="shared" si="3"/>
        <v>653.18467402399085</v>
      </c>
      <c r="F48" s="31">
        <f t="shared" si="4"/>
        <v>0.63296168505997707</v>
      </c>
      <c r="G48" s="29">
        <f>E48/(1+Assumptions!C10)^5</f>
        <v>492.72845975319456</v>
      </c>
      <c r="H48" s="31">
        <f>(G30-Assumptions!C10)/(1+Assumptions!C10)</f>
        <v>4.2580340264650275E-2</v>
      </c>
      <c r="I48" s="1"/>
      <c r="J48" s="1"/>
      <c r="K48" s="1"/>
      <c r="L48" s="1"/>
      <c r="M48" s="1"/>
      <c r="N48" s="1"/>
    </row>
    <row r="49" spans="1:14" x14ac:dyDescent="0.3">
      <c r="A49" s="1"/>
      <c r="B49" s="41">
        <v>6</v>
      </c>
      <c r="C49" s="39">
        <f t="shared" si="5"/>
        <v>653.18467402399085</v>
      </c>
      <c r="D49" s="39">
        <f>C49*G30</f>
        <v>67.310680658172259</v>
      </c>
      <c r="E49" s="39">
        <f t="shared" si="3"/>
        <v>720.49535468216311</v>
      </c>
      <c r="F49" s="38">
        <f t="shared" si="4"/>
        <v>0.80123838670540781</v>
      </c>
      <c r="G49" s="39">
        <f>E49/(1+Assumptions!C10)^6</f>
        <v>513.70900522756256</v>
      </c>
      <c r="H49" s="38">
        <f>(G30-Assumptions!C10)/(1+Assumptions!C10)</f>
        <v>4.2580340264650275E-2</v>
      </c>
      <c r="I49" s="1"/>
      <c r="J49" s="1"/>
      <c r="K49" s="1"/>
      <c r="L49" s="1"/>
      <c r="M49" s="1"/>
      <c r="N49" s="1"/>
    </row>
    <row r="50" spans="1:14" x14ac:dyDescent="0.3">
      <c r="A50" s="1"/>
      <c r="B50" s="40">
        <v>7</v>
      </c>
      <c r="C50" s="29">
        <f t="shared" si="5"/>
        <v>720.49535468216311</v>
      </c>
      <c r="D50" s="29">
        <f>C50*G30</f>
        <v>74.24704629999691</v>
      </c>
      <c r="E50" s="29">
        <f t="shared" si="3"/>
        <v>794.74240098216001</v>
      </c>
      <c r="F50" s="31">
        <f t="shared" si="4"/>
        <v>0.98685600245540006</v>
      </c>
      <c r="G50" s="29">
        <f>E50/(1+Assumptions!C10)^7</f>
        <v>535.58290946716716</v>
      </c>
      <c r="H50" s="31">
        <f>(G30-Assumptions!C10)/(1+Assumptions!C10)</f>
        <v>4.2580340264650275E-2</v>
      </c>
      <c r="I50" s="1"/>
      <c r="J50" s="1"/>
      <c r="K50" s="1"/>
      <c r="L50" s="1"/>
      <c r="M50" s="1"/>
      <c r="N50" s="1"/>
    </row>
    <row r="51" spans="1:14" x14ac:dyDescent="0.3">
      <c r="A51" s="1"/>
      <c r="B51" s="41">
        <v>8</v>
      </c>
      <c r="C51" s="39">
        <f t="shared" si="5"/>
        <v>794.74240098216001</v>
      </c>
      <c r="D51" s="39">
        <f>C51*G30</f>
        <v>81.898204421211588</v>
      </c>
      <c r="E51" s="39">
        <f t="shared" si="3"/>
        <v>876.64060540337164</v>
      </c>
      <c r="F51" s="38">
        <f t="shared" si="4"/>
        <v>1.191601513508429</v>
      </c>
      <c r="G51" s="39">
        <f>E51/(1+Assumptions!C10)^8</f>
        <v>558.3882119922107</v>
      </c>
      <c r="H51" s="38">
        <f>(G30-Assumptions!C10)/(1+Assumptions!C10)</f>
        <v>4.2580340264650275E-2</v>
      </c>
      <c r="I51" s="1"/>
      <c r="J51" s="1"/>
      <c r="K51" s="1"/>
      <c r="L51" s="1"/>
      <c r="M51" s="1"/>
      <c r="N51" s="1"/>
    </row>
    <row r="52" spans="1:14" x14ac:dyDescent="0.3">
      <c r="A52" s="1"/>
      <c r="B52" s="40">
        <v>9</v>
      </c>
      <c r="C52" s="29">
        <f t="shared" si="5"/>
        <v>876.64060540337164</v>
      </c>
      <c r="D52" s="29">
        <f>C52*G30</f>
        <v>90.337814386817456</v>
      </c>
      <c r="E52" s="29">
        <f t="shared" si="3"/>
        <v>966.97841979018904</v>
      </c>
      <c r="F52" s="31">
        <f t="shared" si="4"/>
        <v>1.4174460494754726</v>
      </c>
      <c r="G52" s="29">
        <f>E52/(1+Assumptions!C10)^9</f>
        <v>582.16457205860854</v>
      </c>
      <c r="H52" s="31">
        <f>(G30-Assumptions!C10)/(1+Assumptions!C10)</f>
        <v>4.2580340264650275E-2</v>
      </c>
      <c r="I52" s="1"/>
      <c r="J52" s="1"/>
      <c r="K52" s="1"/>
      <c r="L52" s="1"/>
      <c r="M52" s="1"/>
      <c r="N52" s="1"/>
    </row>
    <row r="53" spans="1:14" x14ac:dyDescent="0.3">
      <c r="A53" s="1"/>
      <c r="B53" s="42">
        <v>10</v>
      </c>
      <c r="C53" s="43">
        <f t="shared" si="5"/>
        <v>966.97841979018904</v>
      </c>
      <c r="D53" s="43">
        <f>C53*G30</f>
        <v>99.647126159378985</v>
      </c>
      <c r="E53" s="43">
        <f t="shared" si="3"/>
        <v>1066.625545949568</v>
      </c>
      <c r="F53" s="44">
        <f t="shared" si="4"/>
        <v>1.6665638648739201</v>
      </c>
      <c r="G53" s="43">
        <f>E53/(1+Assumptions!C10)^10</f>
        <v>606.9533376268887</v>
      </c>
      <c r="H53" s="44">
        <f>(G30-Assumptions!C10)/(1+Assumptions!C10)</f>
        <v>4.2580340264650275E-2</v>
      </c>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1"/>
      <c r="C55" s="1"/>
      <c r="D55" s="1"/>
      <c r="E55" s="1"/>
      <c r="F55" s="1"/>
      <c r="G55" s="1"/>
      <c r="H55" s="1"/>
      <c r="I55" s="1"/>
      <c r="J55" s="1"/>
      <c r="K55" s="1"/>
      <c r="L55" s="1"/>
      <c r="M55" s="1"/>
      <c r="N55" s="1"/>
    </row>
    <row r="56" spans="1:14" ht="22.05" customHeight="1" x14ac:dyDescent="0.3">
      <c r="A56" s="1"/>
      <c r="B56" s="89" t="s">
        <v>179</v>
      </c>
      <c r="C56" s="74"/>
      <c r="D56" s="74"/>
      <c r="E56" s="74"/>
      <c r="F56" s="74"/>
      <c r="G56" s="74"/>
      <c r="H56" s="74"/>
      <c r="I56" s="74"/>
      <c r="J56" s="1"/>
      <c r="K56" s="1"/>
      <c r="L56" s="1"/>
      <c r="M56" s="1"/>
      <c r="N56" s="1"/>
    </row>
    <row r="57" spans="1:14" ht="28.05" customHeight="1" x14ac:dyDescent="0.3">
      <c r="A57" s="1"/>
      <c r="B57" s="84" t="s">
        <v>240</v>
      </c>
      <c r="C57" s="74"/>
      <c r="D57" s="74"/>
      <c r="E57" s="74"/>
      <c r="F57" s="74"/>
      <c r="G57" s="74"/>
      <c r="H57" s="74"/>
      <c r="I57" s="74"/>
      <c r="J57" s="1"/>
      <c r="K57" s="1"/>
      <c r="L57" s="1"/>
      <c r="M57" s="1"/>
      <c r="N57" s="1"/>
    </row>
    <row r="58" spans="1:14" ht="28.05" customHeight="1" x14ac:dyDescent="0.3">
      <c r="A58" s="1"/>
      <c r="B58" s="83" t="s">
        <v>241</v>
      </c>
      <c r="C58" s="74"/>
      <c r="D58" s="74"/>
      <c r="E58" s="74"/>
      <c r="F58" s="74"/>
      <c r="G58" s="74"/>
      <c r="H58" s="74"/>
      <c r="I58" s="74"/>
      <c r="J58" s="1"/>
      <c r="K58" s="1"/>
      <c r="L58" s="1"/>
      <c r="M58" s="1"/>
      <c r="N58" s="1"/>
    </row>
    <row r="59" spans="1:14" ht="28.05" customHeight="1" x14ac:dyDescent="0.3">
      <c r="A59" s="1"/>
      <c r="B59" s="84" t="s">
        <v>242</v>
      </c>
      <c r="C59" s="74"/>
      <c r="D59" s="74"/>
      <c r="E59" s="74"/>
      <c r="F59" s="74"/>
      <c r="G59" s="74"/>
      <c r="H59" s="74"/>
      <c r="I59" s="74"/>
      <c r="J59" s="1"/>
      <c r="K59" s="1"/>
      <c r="L59" s="1"/>
      <c r="M59" s="1"/>
      <c r="N59" s="1"/>
    </row>
    <row r="60" spans="1:14" ht="28.05" customHeight="1" x14ac:dyDescent="0.3">
      <c r="A60" s="1"/>
      <c r="B60" s="83" t="s">
        <v>243</v>
      </c>
      <c r="C60" s="74"/>
      <c r="D60" s="74"/>
      <c r="E60" s="74"/>
      <c r="F60" s="74"/>
      <c r="G60" s="74"/>
      <c r="H60" s="74"/>
      <c r="I60" s="74"/>
      <c r="J60" s="1"/>
      <c r="K60" s="1"/>
      <c r="L60" s="1"/>
      <c r="M60" s="1"/>
      <c r="N60" s="1"/>
    </row>
    <row r="61" spans="1:14" ht="28.05" customHeight="1" x14ac:dyDescent="0.3">
      <c r="A61" s="1"/>
      <c r="B61" s="84" t="s">
        <v>244</v>
      </c>
      <c r="C61" s="74"/>
      <c r="D61" s="74"/>
      <c r="E61" s="74"/>
      <c r="F61" s="74"/>
      <c r="G61" s="74"/>
      <c r="H61" s="74"/>
      <c r="I61" s="74"/>
      <c r="J61" s="1"/>
      <c r="K61" s="1"/>
      <c r="L61" s="1"/>
      <c r="M61" s="1"/>
      <c r="N61" s="1"/>
    </row>
    <row r="62" spans="1:14" ht="28.05" customHeight="1" x14ac:dyDescent="0.3">
      <c r="A62" s="1"/>
      <c r="B62" s="83" t="s">
        <v>245</v>
      </c>
      <c r="C62" s="74"/>
      <c r="D62" s="74"/>
      <c r="E62" s="74"/>
      <c r="F62" s="74"/>
      <c r="G62" s="74"/>
      <c r="H62" s="74"/>
      <c r="I62" s="74"/>
      <c r="J62" s="1"/>
      <c r="K62" s="1"/>
      <c r="L62" s="1"/>
      <c r="M62" s="1"/>
      <c r="N62" s="1"/>
    </row>
    <row r="63" spans="1:14" x14ac:dyDescent="0.3">
      <c r="A63" s="1"/>
      <c r="B63" s="1"/>
      <c r="C63" s="1"/>
      <c r="D63" s="1"/>
      <c r="E63" s="1"/>
      <c r="F63" s="1"/>
      <c r="G63" s="1"/>
      <c r="H63" s="1"/>
      <c r="I63" s="1"/>
      <c r="J63" s="1"/>
      <c r="K63" s="1"/>
      <c r="L63" s="1"/>
      <c r="M63" s="1"/>
      <c r="N63" s="1"/>
    </row>
    <row r="64" spans="1:14" x14ac:dyDescent="0.3">
      <c r="A64" s="1"/>
      <c r="B64" s="1"/>
      <c r="C64" s="1"/>
      <c r="D64" s="1"/>
      <c r="E64" s="1"/>
      <c r="F64" s="1"/>
      <c r="G64" s="1"/>
      <c r="H64" s="1"/>
      <c r="I64" s="1"/>
      <c r="J64" s="1"/>
      <c r="K64" s="1"/>
      <c r="L64" s="1"/>
      <c r="M64" s="1"/>
      <c r="N64" s="1"/>
    </row>
    <row r="65" spans="1:14" x14ac:dyDescent="0.3">
      <c r="A65" s="1"/>
      <c r="B65" s="1"/>
      <c r="C65" s="1"/>
      <c r="D65" s="1"/>
      <c r="E65" s="1"/>
      <c r="F65" s="1"/>
      <c r="G65" s="1"/>
      <c r="H65" s="1"/>
      <c r="I65" s="1"/>
      <c r="J65" s="1"/>
      <c r="K65" s="1"/>
      <c r="L65" s="1"/>
      <c r="M65" s="1"/>
      <c r="N65" s="1"/>
    </row>
    <row r="66" spans="1:14" x14ac:dyDescent="0.3">
      <c r="A66" s="1"/>
      <c r="B66" s="1"/>
      <c r="C66" s="1"/>
      <c r="D66" s="1"/>
      <c r="E66" s="1"/>
      <c r="F66" s="1"/>
      <c r="G66" s="1"/>
      <c r="H66" s="1"/>
      <c r="I66" s="1"/>
      <c r="J66" s="1"/>
      <c r="K66" s="1"/>
      <c r="L66" s="1"/>
      <c r="M66" s="1"/>
      <c r="N66" s="1"/>
    </row>
    <row r="67" spans="1:14" x14ac:dyDescent="0.3">
      <c r="A67" s="1"/>
      <c r="B67" s="1"/>
      <c r="C67" s="1"/>
      <c r="D67" s="1"/>
      <c r="E67" s="1"/>
      <c r="F67" s="1"/>
      <c r="G67" s="1"/>
      <c r="H67" s="1"/>
      <c r="I67" s="1"/>
      <c r="J67" s="1"/>
      <c r="K67" s="1"/>
      <c r="L67" s="1"/>
      <c r="M67" s="1"/>
      <c r="N67" s="1"/>
    </row>
    <row r="68" spans="1:14" x14ac:dyDescent="0.3">
      <c r="A68" s="1"/>
      <c r="B68" s="1"/>
      <c r="C68" s="1"/>
      <c r="D68" s="1"/>
      <c r="E68" s="1"/>
      <c r="F68" s="1"/>
      <c r="G68" s="1"/>
      <c r="H68" s="1"/>
      <c r="I68" s="1"/>
      <c r="J68" s="1"/>
      <c r="K68" s="1"/>
      <c r="L68" s="1"/>
      <c r="M68" s="1"/>
      <c r="N68" s="1"/>
    </row>
    <row r="69" spans="1:14" x14ac:dyDescent="0.3">
      <c r="A69" s="1"/>
      <c r="B69" s="1"/>
      <c r="C69" s="1"/>
      <c r="D69" s="1"/>
      <c r="E69" s="1"/>
      <c r="F69" s="1"/>
      <c r="G69" s="1"/>
      <c r="H69" s="1"/>
      <c r="I69" s="1"/>
      <c r="J69" s="1"/>
      <c r="K69" s="1"/>
      <c r="L69" s="1"/>
      <c r="M69" s="1"/>
      <c r="N69" s="1"/>
    </row>
    <row r="70" spans="1:14" x14ac:dyDescent="0.3">
      <c r="A70" s="1"/>
      <c r="B70" s="1"/>
      <c r="C70" s="1"/>
      <c r="D70" s="1"/>
      <c r="E70" s="1"/>
      <c r="F70" s="1"/>
      <c r="G70" s="1"/>
      <c r="H70" s="1"/>
      <c r="I70" s="1"/>
      <c r="J70" s="1"/>
      <c r="K70" s="1"/>
      <c r="L70" s="1"/>
      <c r="M70" s="1"/>
      <c r="N70" s="1"/>
    </row>
    <row r="71" spans="1:14" x14ac:dyDescent="0.3">
      <c r="A71" s="1"/>
      <c r="B71" s="1"/>
      <c r="C71" s="1"/>
      <c r="D71" s="1"/>
      <c r="E71" s="1"/>
      <c r="F71" s="1"/>
      <c r="G71" s="1"/>
      <c r="H71" s="1"/>
      <c r="I71" s="1"/>
      <c r="J71" s="1"/>
      <c r="K71" s="1"/>
      <c r="L71" s="1"/>
      <c r="M71" s="1"/>
      <c r="N71" s="1"/>
    </row>
    <row r="72" spans="1:14" x14ac:dyDescent="0.3">
      <c r="A72" s="1"/>
      <c r="B72" s="1"/>
      <c r="C72" s="1"/>
      <c r="D72" s="1"/>
      <c r="E72" s="1"/>
      <c r="F72" s="1"/>
      <c r="G72" s="1"/>
      <c r="H72" s="1"/>
      <c r="I72" s="1"/>
      <c r="J72" s="1"/>
      <c r="K72" s="1"/>
      <c r="L72" s="1"/>
      <c r="M72" s="1"/>
      <c r="N72" s="1"/>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1"/>
      <c r="C75" s="1"/>
      <c r="D75" s="1"/>
      <c r="E75" s="1"/>
      <c r="F75" s="1"/>
      <c r="G75" s="1"/>
      <c r="H75" s="1"/>
      <c r="I75" s="1"/>
      <c r="J75" s="1"/>
      <c r="K75" s="1"/>
      <c r="L75" s="1"/>
      <c r="M75" s="1"/>
      <c r="N75" s="1"/>
    </row>
    <row r="76" spans="1:14" x14ac:dyDescent="0.3">
      <c r="A76" s="1"/>
      <c r="B76" s="1"/>
      <c r="C76" s="1"/>
      <c r="D76" s="1"/>
      <c r="E76" s="1"/>
      <c r="F76" s="1"/>
      <c r="G76" s="1"/>
      <c r="H76" s="1"/>
      <c r="I76" s="1"/>
      <c r="J76" s="1"/>
      <c r="K76" s="1"/>
      <c r="L76" s="1"/>
      <c r="M76" s="1"/>
      <c r="N76" s="1"/>
    </row>
    <row r="77" spans="1:14" x14ac:dyDescent="0.3">
      <c r="A77" s="1"/>
      <c r="B77" s="1"/>
      <c r="C77" s="1"/>
      <c r="D77" s="1"/>
      <c r="E77" s="1"/>
      <c r="F77" s="1"/>
      <c r="G77" s="1"/>
      <c r="H77" s="1"/>
      <c r="I77" s="1"/>
      <c r="J77" s="1"/>
      <c r="K77" s="1"/>
      <c r="L77" s="1"/>
      <c r="M77" s="1"/>
      <c r="N77" s="1"/>
    </row>
    <row r="78" spans="1:14" x14ac:dyDescent="0.3">
      <c r="A78" s="1"/>
      <c r="B78" s="1"/>
      <c r="C78" s="1"/>
      <c r="D78" s="1"/>
      <c r="E78" s="1"/>
      <c r="F78" s="1"/>
      <c r="G78" s="1"/>
      <c r="H78" s="1"/>
      <c r="I78" s="1"/>
      <c r="J78" s="1"/>
      <c r="K78" s="1"/>
      <c r="L78" s="1"/>
      <c r="M78" s="1"/>
      <c r="N78" s="1"/>
    </row>
    <row r="79" spans="1:14" x14ac:dyDescent="0.3">
      <c r="A79" s="1"/>
      <c r="B79" s="1"/>
      <c r="C79" s="1"/>
      <c r="D79" s="1"/>
      <c r="E79" s="1"/>
      <c r="F79" s="1"/>
      <c r="G79" s="1"/>
      <c r="H79" s="1"/>
      <c r="I79" s="1"/>
      <c r="J79" s="1"/>
      <c r="K79" s="1"/>
      <c r="L79" s="1"/>
      <c r="M79" s="1"/>
      <c r="N79" s="1"/>
    </row>
    <row r="80" spans="1:14" x14ac:dyDescent="0.3">
      <c r="A80" s="1"/>
      <c r="B80" s="1"/>
      <c r="C80" s="1"/>
      <c r="D80" s="1"/>
      <c r="E80" s="1"/>
      <c r="F80" s="1"/>
      <c r="G80" s="1"/>
      <c r="H80" s="1"/>
      <c r="I80" s="1"/>
      <c r="J80" s="1"/>
      <c r="K80" s="1"/>
      <c r="L80" s="1"/>
      <c r="M80" s="1"/>
      <c r="N80" s="1"/>
    </row>
    <row r="81" spans="1:14" x14ac:dyDescent="0.3">
      <c r="A81" s="1"/>
      <c r="B81" s="1"/>
      <c r="C81" s="1"/>
      <c r="D81" s="1"/>
      <c r="E81" s="1"/>
      <c r="F81" s="1"/>
      <c r="G81" s="1"/>
      <c r="H81" s="1"/>
      <c r="I81" s="1"/>
      <c r="J81" s="1"/>
      <c r="K81" s="1"/>
      <c r="L81" s="1"/>
      <c r="M81" s="1"/>
      <c r="N81" s="1"/>
    </row>
    <row r="82" spans="1:14" x14ac:dyDescent="0.3">
      <c r="A82" s="1"/>
      <c r="B82" s="1"/>
      <c r="C82" s="1"/>
      <c r="D82" s="1"/>
      <c r="E82" s="1"/>
      <c r="F82" s="1"/>
      <c r="G82" s="1"/>
      <c r="H82" s="1"/>
      <c r="I82" s="1"/>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1"/>
      <c r="C84" s="1"/>
      <c r="D84" s="1"/>
      <c r="E84" s="1"/>
      <c r="F84" s="1"/>
      <c r="G84" s="1"/>
      <c r="H84" s="1"/>
      <c r="I84" s="1"/>
      <c r="J84" s="1"/>
      <c r="K84" s="1"/>
      <c r="L84" s="1"/>
      <c r="M84" s="1"/>
      <c r="N84" s="1"/>
    </row>
    <row r="85" spans="1:14" x14ac:dyDescent="0.3">
      <c r="A85" s="1"/>
      <c r="B85" s="1"/>
      <c r="C85" s="1"/>
      <c r="D85" s="1"/>
      <c r="E85" s="1"/>
      <c r="F85" s="1"/>
      <c r="G85" s="1"/>
      <c r="H85" s="1"/>
      <c r="I85" s="1"/>
      <c r="J85" s="1"/>
      <c r="K85" s="1"/>
      <c r="L85" s="1"/>
      <c r="M85" s="1"/>
      <c r="N85" s="1"/>
    </row>
    <row r="86" spans="1:14" x14ac:dyDescent="0.3">
      <c r="A86" s="1"/>
      <c r="B86" s="1"/>
      <c r="C86" s="1"/>
      <c r="D86" s="1"/>
      <c r="E86" s="1"/>
      <c r="F86" s="1"/>
      <c r="G86" s="1"/>
      <c r="H86" s="1"/>
      <c r="I86" s="1"/>
      <c r="J86" s="1"/>
      <c r="K86" s="1"/>
      <c r="L86" s="1"/>
      <c r="M86" s="1"/>
      <c r="N86" s="1"/>
    </row>
    <row r="87" spans="1:14" x14ac:dyDescent="0.3">
      <c r="A87" s="1"/>
      <c r="B87" s="1"/>
      <c r="C87" s="1"/>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1"/>
      <c r="C90" s="1"/>
      <c r="D90" s="1"/>
      <c r="E90" s="1"/>
      <c r="F90" s="1"/>
      <c r="G90" s="1"/>
      <c r="H90" s="1"/>
      <c r="I90" s="1"/>
      <c r="J90" s="1"/>
      <c r="K90" s="1"/>
      <c r="L90" s="1"/>
      <c r="M90" s="1"/>
      <c r="N90" s="1"/>
    </row>
    <row r="91" spans="1:14" x14ac:dyDescent="0.3">
      <c r="A91" s="1"/>
      <c r="B91" s="1"/>
      <c r="C91" s="1"/>
      <c r="D91" s="1"/>
      <c r="E91" s="1"/>
      <c r="F91" s="1"/>
      <c r="G91" s="1"/>
      <c r="H91" s="1"/>
      <c r="I91" s="1"/>
      <c r="J91" s="1"/>
      <c r="K91" s="1"/>
      <c r="L91" s="1"/>
      <c r="M91" s="1"/>
      <c r="N91" s="1"/>
    </row>
    <row r="92" spans="1:14" x14ac:dyDescent="0.3">
      <c r="A92" s="1"/>
      <c r="B92" s="1"/>
      <c r="C92" s="1"/>
      <c r="D92" s="1"/>
      <c r="E92" s="1"/>
      <c r="F92" s="1"/>
      <c r="G92" s="1"/>
      <c r="H92" s="1"/>
      <c r="I92" s="1"/>
      <c r="J92" s="1"/>
      <c r="K92" s="1"/>
      <c r="L92" s="1"/>
      <c r="M92" s="1"/>
      <c r="N92" s="1"/>
    </row>
    <row r="93" spans="1:14" x14ac:dyDescent="0.3">
      <c r="A93" s="1"/>
      <c r="B93" s="1"/>
      <c r="C93" s="1"/>
      <c r="D93" s="1"/>
      <c r="E93" s="1"/>
      <c r="F93" s="1"/>
      <c r="G93" s="1"/>
      <c r="H93" s="1"/>
      <c r="I93" s="1"/>
      <c r="J93" s="1"/>
      <c r="K93" s="1"/>
      <c r="L93" s="1"/>
      <c r="M93" s="1"/>
      <c r="N93" s="1"/>
    </row>
    <row r="94" spans="1:14" x14ac:dyDescent="0.3">
      <c r="A94" s="1"/>
      <c r="B94" s="1"/>
      <c r="C94" s="1"/>
      <c r="D94" s="1"/>
      <c r="E94" s="1"/>
      <c r="F94" s="1"/>
      <c r="G94" s="1"/>
      <c r="H94" s="1"/>
      <c r="I94" s="1"/>
      <c r="J94" s="1"/>
      <c r="K94" s="1"/>
      <c r="L94" s="1"/>
      <c r="M94" s="1"/>
      <c r="N94" s="1"/>
    </row>
    <row r="95" spans="1:14" x14ac:dyDescent="0.3">
      <c r="A95" s="1"/>
      <c r="B95" s="1"/>
      <c r="C95" s="1"/>
      <c r="D95" s="1"/>
      <c r="E95" s="1"/>
      <c r="F95" s="1"/>
      <c r="G95" s="1"/>
      <c r="H95" s="1"/>
      <c r="I95" s="1"/>
      <c r="J95" s="1"/>
      <c r="K95" s="1"/>
      <c r="L95" s="1"/>
      <c r="M95" s="1"/>
      <c r="N95" s="1"/>
    </row>
    <row r="96" spans="1:14" x14ac:dyDescent="0.3">
      <c r="A96" s="1"/>
      <c r="B96" s="1"/>
      <c r="C96" s="1"/>
      <c r="D96" s="1"/>
      <c r="E96" s="1"/>
      <c r="F96" s="1"/>
      <c r="G96" s="1"/>
      <c r="H96" s="1"/>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1"/>
      <c r="C104" s="1"/>
      <c r="D104" s="1"/>
      <c r="E104" s="1"/>
      <c r="F104" s="1"/>
      <c r="G104" s="1"/>
      <c r="H104" s="1"/>
      <c r="I104" s="1"/>
      <c r="J104" s="1"/>
      <c r="K104" s="1"/>
      <c r="L104" s="1"/>
      <c r="M104" s="1"/>
      <c r="N104" s="1"/>
    </row>
    <row r="105" spans="1:14" x14ac:dyDescent="0.3">
      <c r="A105" s="1"/>
      <c r="B105" s="1"/>
      <c r="C105" s="1"/>
      <c r="D105" s="1"/>
      <c r="E105" s="1"/>
      <c r="F105" s="1"/>
      <c r="G105" s="1"/>
      <c r="H105" s="1"/>
      <c r="I105" s="1"/>
      <c r="J105" s="1"/>
      <c r="K105" s="1"/>
      <c r="L105" s="1"/>
      <c r="M105" s="1"/>
      <c r="N105" s="1"/>
    </row>
    <row r="106" spans="1:14" x14ac:dyDescent="0.3">
      <c r="A106" s="1"/>
      <c r="B106" s="1"/>
      <c r="C106" s="1"/>
      <c r="D106" s="1"/>
      <c r="E106" s="1"/>
      <c r="F106" s="1"/>
      <c r="G106" s="1"/>
      <c r="H106" s="1"/>
      <c r="I106" s="1"/>
      <c r="J106" s="1"/>
      <c r="K106" s="1"/>
      <c r="L106" s="1"/>
      <c r="M106" s="1"/>
      <c r="N106" s="1"/>
    </row>
    <row r="107" spans="1:14" x14ac:dyDescent="0.3">
      <c r="A107" s="1"/>
      <c r="B107" s="1"/>
      <c r="C107" s="1"/>
      <c r="D107" s="1"/>
      <c r="E107" s="1"/>
      <c r="F107" s="1"/>
      <c r="G107" s="1"/>
      <c r="H107" s="1"/>
      <c r="I107" s="1"/>
      <c r="J107" s="1"/>
      <c r="K107" s="1"/>
      <c r="L107" s="1"/>
      <c r="M107" s="1"/>
      <c r="N107" s="1"/>
    </row>
    <row r="108" spans="1:14" x14ac:dyDescent="0.3">
      <c r="A108" s="1"/>
      <c r="B108" s="1"/>
      <c r="C108" s="1"/>
      <c r="D108" s="1"/>
      <c r="E108" s="1"/>
      <c r="F108" s="1"/>
      <c r="G108" s="1"/>
      <c r="H108" s="1"/>
      <c r="I108" s="1"/>
      <c r="J108" s="1"/>
      <c r="K108" s="1"/>
      <c r="L108" s="1"/>
      <c r="M108" s="1"/>
      <c r="N108" s="1"/>
    </row>
    <row r="109" spans="1:14" x14ac:dyDescent="0.3">
      <c r="A109" s="1"/>
      <c r="B109" s="1"/>
      <c r="C109" s="1"/>
      <c r="D109" s="1"/>
      <c r="E109" s="1"/>
      <c r="F109" s="1"/>
      <c r="G109" s="1"/>
      <c r="H109" s="1"/>
      <c r="I109" s="1"/>
      <c r="J109" s="1"/>
      <c r="K109" s="1"/>
      <c r="L109" s="1"/>
      <c r="M109" s="1"/>
      <c r="N109" s="1"/>
    </row>
    <row r="110" spans="1:14" x14ac:dyDescent="0.3">
      <c r="A110" s="1"/>
      <c r="B110" s="1"/>
      <c r="C110" s="1"/>
      <c r="D110" s="1"/>
      <c r="E110" s="1"/>
      <c r="F110" s="1"/>
      <c r="G110" s="1"/>
      <c r="H110" s="1"/>
      <c r="I110" s="1"/>
      <c r="J110" s="1"/>
      <c r="K110" s="1"/>
      <c r="L110" s="1"/>
      <c r="M110" s="1"/>
      <c r="N110" s="1"/>
    </row>
    <row r="111" spans="1:14" x14ac:dyDescent="0.3">
      <c r="A111" s="1"/>
      <c r="B111" s="1"/>
      <c r="C111" s="1"/>
      <c r="D111" s="1"/>
      <c r="E111" s="1"/>
      <c r="F111" s="1"/>
      <c r="G111" s="1"/>
      <c r="H111" s="1"/>
      <c r="I111" s="1"/>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1"/>
      <c r="C113" s="1"/>
      <c r="D113" s="1"/>
      <c r="E113" s="1"/>
      <c r="F113" s="1"/>
      <c r="G113" s="1"/>
      <c r="H113" s="1"/>
      <c r="I113" s="1"/>
      <c r="J113" s="1"/>
      <c r="K113" s="1"/>
      <c r="L113" s="1"/>
      <c r="M113" s="1"/>
      <c r="N113" s="1"/>
    </row>
    <row r="114" spans="1:14" x14ac:dyDescent="0.3">
      <c r="A114" s="1"/>
      <c r="B114" s="1"/>
      <c r="C114" s="1"/>
      <c r="D114" s="1"/>
      <c r="E114" s="1"/>
      <c r="F114" s="1"/>
      <c r="G114" s="1"/>
      <c r="H114" s="1"/>
      <c r="I114" s="1"/>
      <c r="J114" s="1"/>
      <c r="K114" s="1"/>
      <c r="L114" s="1"/>
      <c r="M114" s="1"/>
      <c r="N114" s="1"/>
    </row>
    <row r="115" spans="1:14" x14ac:dyDescent="0.3">
      <c r="A115" s="1"/>
      <c r="B115" s="1"/>
      <c r="C115" s="1"/>
      <c r="D115" s="1"/>
      <c r="E115" s="1"/>
      <c r="F115" s="1"/>
      <c r="G115" s="1"/>
      <c r="H115" s="1"/>
      <c r="I115" s="1"/>
      <c r="J115" s="1"/>
      <c r="K115" s="1"/>
      <c r="L115" s="1"/>
      <c r="M115" s="1"/>
      <c r="N115" s="1"/>
    </row>
    <row r="116" spans="1:14" x14ac:dyDescent="0.3">
      <c r="A116" s="1"/>
      <c r="B116" s="1"/>
      <c r="C116" s="1"/>
      <c r="D116" s="1"/>
      <c r="E116" s="1"/>
      <c r="F116" s="1"/>
      <c r="G116" s="1"/>
      <c r="H116" s="1"/>
      <c r="I116" s="1"/>
      <c r="J116" s="1"/>
      <c r="K116" s="1"/>
      <c r="L116" s="1"/>
      <c r="M116" s="1"/>
      <c r="N116" s="1"/>
    </row>
    <row r="117" spans="1:14" x14ac:dyDescent="0.3">
      <c r="A117" s="1"/>
      <c r="B117" s="1"/>
      <c r="C117" s="1"/>
      <c r="D117" s="1"/>
      <c r="E117" s="1"/>
      <c r="F117" s="1"/>
      <c r="G117" s="1"/>
      <c r="H117" s="1"/>
      <c r="I117" s="1"/>
      <c r="J117" s="1"/>
      <c r="K117" s="1"/>
      <c r="L117" s="1"/>
      <c r="M117" s="1"/>
      <c r="N117" s="1"/>
    </row>
    <row r="118" spans="1:14" x14ac:dyDescent="0.3">
      <c r="A118" s="1"/>
      <c r="B118" s="1"/>
      <c r="C118" s="1"/>
      <c r="D118" s="1"/>
      <c r="E118" s="1"/>
      <c r="F118" s="1"/>
      <c r="G118" s="1"/>
      <c r="H118" s="1"/>
      <c r="I118" s="1"/>
      <c r="J118" s="1"/>
      <c r="K118" s="1"/>
      <c r="L118" s="1"/>
      <c r="M118" s="1"/>
      <c r="N118" s="1"/>
    </row>
    <row r="119" spans="1:14" x14ac:dyDescent="0.3">
      <c r="A119" s="1"/>
      <c r="B119" s="1"/>
      <c r="C119" s="1"/>
      <c r="D119" s="1"/>
      <c r="E119" s="1"/>
      <c r="F119" s="1"/>
      <c r="G119" s="1"/>
      <c r="H119" s="1"/>
      <c r="I119" s="1"/>
      <c r="J119" s="1"/>
      <c r="K119" s="1"/>
      <c r="L119" s="1"/>
      <c r="M119" s="1"/>
      <c r="N119" s="1"/>
    </row>
    <row r="120" spans="1:14" x14ac:dyDescent="0.3">
      <c r="A120" s="1"/>
      <c r="B120" s="1"/>
      <c r="C120" s="1"/>
      <c r="D120" s="1"/>
      <c r="E120" s="1"/>
      <c r="F120" s="1"/>
      <c r="G120" s="1"/>
      <c r="H120" s="1"/>
      <c r="I120" s="1"/>
      <c r="J120" s="1"/>
      <c r="K120" s="1"/>
      <c r="L120" s="1"/>
      <c r="M120" s="1"/>
      <c r="N120" s="1"/>
    </row>
  </sheetData>
  <mergeCells count="29">
    <mergeCell ref="B62:I62"/>
    <mergeCell ref="C15:D15"/>
    <mergeCell ref="C33:D33"/>
    <mergeCell ref="C14:D14"/>
    <mergeCell ref="B59:I59"/>
    <mergeCell ref="C35:D35"/>
    <mergeCell ref="B56:I56"/>
    <mergeCell ref="B58:I58"/>
    <mergeCell ref="B61:I61"/>
    <mergeCell ref="B42:I42"/>
    <mergeCell ref="B60:I60"/>
    <mergeCell ref="C9:D9"/>
    <mergeCell ref="B57:I57"/>
    <mergeCell ref="C39:D39"/>
    <mergeCell ref="C38:D38"/>
    <mergeCell ref="C34:D34"/>
    <mergeCell ref="B2:I3"/>
    <mergeCell ref="C37:D37"/>
    <mergeCell ref="C13:D13"/>
    <mergeCell ref="B32:F32"/>
    <mergeCell ref="B4:I5"/>
    <mergeCell ref="C12:D12"/>
    <mergeCell ref="C11:D11"/>
    <mergeCell ref="C36:D36"/>
    <mergeCell ref="C17:D17"/>
    <mergeCell ref="B8:H8"/>
    <mergeCell ref="B20:I20"/>
    <mergeCell ref="C10:D10"/>
    <mergeCell ref="C16:D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
  <sheetViews>
    <sheetView showGridLines="0" workbookViewId="0"/>
  </sheetViews>
  <sheetFormatPr defaultRowHeight="14.4" x14ac:dyDescent="0.3"/>
  <cols>
    <col min="1" max="1" width="3" customWidth="1"/>
    <col min="2" max="2" width="34" customWidth="1"/>
    <col min="3" max="6" width="22" customWidth="1"/>
  </cols>
  <sheetData>
    <row r="1" spans="1:14" x14ac:dyDescent="0.3">
      <c r="A1" s="1"/>
      <c r="B1" s="1"/>
      <c r="C1" s="1"/>
      <c r="D1" s="1"/>
      <c r="E1" s="1"/>
      <c r="F1" s="1"/>
      <c r="G1" s="1"/>
      <c r="H1" s="1"/>
      <c r="I1" s="1"/>
      <c r="J1" s="1"/>
      <c r="K1" s="1"/>
      <c r="L1" s="1"/>
      <c r="M1" s="1"/>
      <c r="N1" s="1"/>
    </row>
    <row r="2" spans="1:14" x14ac:dyDescent="0.3">
      <c r="A2" s="2"/>
      <c r="B2" s="107" t="s">
        <v>246</v>
      </c>
      <c r="C2" s="74"/>
      <c r="D2" s="74"/>
      <c r="E2" s="74"/>
      <c r="F2" s="74"/>
      <c r="G2" s="1"/>
      <c r="H2" s="1"/>
      <c r="I2" s="1"/>
      <c r="J2" s="1"/>
      <c r="K2" s="1"/>
      <c r="L2" s="1"/>
      <c r="M2" s="1"/>
      <c r="N2" s="1"/>
    </row>
    <row r="3" spans="1:14" x14ac:dyDescent="0.3">
      <c r="A3" s="2"/>
      <c r="B3" s="74"/>
      <c r="C3" s="74"/>
      <c r="D3" s="74"/>
      <c r="E3" s="74"/>
      <c r="F3" s="74"/>
      <c r="G3" s="1"/>
      <c r="H3" s="1"/>
      <c r="I3" s="1"/>
      <c r="J3" s="1"/>
      <c r="K3" s="1"/>
      <c r="L3" s="1"/>
      <c r="M3" s="1"/>
      <c r="N3" s="1"/>
    </row>
    <row r="4" spans="1:14" x14ac:dyDescent="0.3">
      <c r="A4" s="2"/>
      <c r="B4" s="74"/>
      <c r="C4" s="74"/>
      <c r="D4" s="74"/>
      <c r="E4" s="74"/>
      <c r="F4" s="74"/>
      <c r="G4" s="1"/>
      <c r="H4" s="1"/>
      <c r="I4" s="1"/>
      <c r="J4" s="1"/>
      <c r="K4" s="1"/>
      <c r="L4" s="1"/>
      <c r="M4" s="1"/>
      <c r="N4" s="1"/>
    </row>
    <row r="5" spans="1:14" x14ac:dyDescent="0.3">
      <c r="A5" s="2"/>
      <c r="B5" s="101" t="s">
        <v>247</v>
      </c>
      <c r="C5" s="74"/>
      <c r="D5" s="74"/>
      <c r="E5" s="74"/>
      <c r="F5" s="74"/>
      <c r="G5" s="1"/>
      <c r="H5" s="1"/>
      <c r="I5" s="1"/>
      <c r="J5" s="1"/>
      <c r="K5" s="1"/>
      <c r="L5" s="1"/>
      <c r="M5" s="1"/>
      <c r="N5" s="1"/>
    </row>
    <row r="6" spans="1:14" x14ac:dyDescent="0.3">
      <c r="A6" s="1"/>
      <c r="B6" s="1"/>
      <c r="C6" s="1"/>
      <c r="D6" s="1"/>
      <c r="E6" s="1"/>
      <c r="F6" s="1"/>
      <c r="G6" s="1"/>
      <c r="H6" s="1"/>
      <c r="I6" s="1"/>
      <c r="J6" s="1"/>
      <c r="K6" s="1"/>
      <c r="L6" s="1"/>
      <c r="M6" s="1"/>
      <c r="N6" s="1"/>
    </row>
    <row r="7" spans="1:14" x14ac:dyDescent="0.3">
      <c r="A7" s="1"/>
      <c r="B7" s="82" t="s">
        <v>248</v>
      </c>
      <c r="C7" s="74"/>
      <c r="D7" s="74"/>
      <c r="E7" s="74"/>
      <c r="F7" s="1"/>
      <c r="G7" s="1"/>
      <c r="H7" s="1"/>
      <c r="I7" s="1"/>
      <c r="J7" s="1"/>
      <c r="K7" s="1"/>
      <c r="L7" s="1"/>
      <c r="M7" s="1"/>
      <c r="N7" s="1"/>
    </row>
    <row r="8" spans="1:14" x14ac:dyDescent="0.3">
      <c r="A8" s="1"/>
      <c r="B8" s="20" t="s">
        <v>249</v>
      </c>
      <c r="C8" s="20" t="s">
        <v>19</v>
      </c>
      <c r="D8" s="20" t="s">
        <v>22</v>
      </c>
      <c r="E8" s="20" t="s">
        <v>25</v>
      </c>
      <c r="F8" s="1"/>
      <c r="G8" s="1"/>
      <c r="H8" s="1"/>
      <c r="I8" s="1"/>
      <c r="J8" s="1"/>
      <c r="K8" s="1"/>
      <c r="L8" s="1"/>
      <c r="M8" s="1"/>
      <c r="N8" s="1"/>
    </row>
    <row r="9" spans="1:14" x14ac:dyDescent="0.3">
      <c r="A9" s="1"/>
      <c r="B9" s="7" t="s">
        <v>250</v>
      </c>
      <c r="C9" s="41" t="s">
        <v>251</v>
      </c>
      <c r="D9" s="41" t="s">
        <v>252</v>
      </c>
      <c r="E9" s="41" t="s">
        <v>253</v>
      </c>
      <c r="F9" s="1"/>
      <c r="G9" s="1"/>
      <c r="H9" s="1"/>
      <c r="I9" s="1"/>
      <c r="J9" s="1"/>
      <c r="K9" s="1"/>
      <c r="L9" s="1"/>
      <c r="M9" s="1"/>
      <c r="N9" s="1"/>
    </row>
    <row r="10" spans="1:14" x14ac:dyDescent="0.3">
      <c r="A10" s="1"/>
      <c r="B10" s="7" t="s">
        <v>132</v>
      </c>
      <c r="C10" s="40" t="s">
        <v>254</v>
      </c>
      <c r="D10" s="40" t="s">
        <v>194</v>
      </c>
      <c r="E10" s="40" t="s">
        <v>225</v>
      </c>
      <c r="F10" s="1"/>
      <c r="G10" s="1"/>
      <c r="H10" s="1"/>
      <c r="I10" s="1"/>
      <c r="J10" s="1"/>
      <c r="K10" s="1"/>
      <c r="L10" s="1"/>
      <c r="M10" s="1"/>
      <c r="N10" s="1"/>
    </row>
    <row r="11" spans="1:14" x14ac:dyDescent="0.3">
      <c r="A11" s="1"/>
      <c r="B11" s="7" t="s">
        <v>168</v>
      </c>
      <c r="C11" s="57">
        <f>'Arjun Mehta'!D31</f>
        <v>250</v>
      </c>
      <c r="D11" s="57">
        <f>'Suresh Rajan'!D30</f>
        <v>600</v>
      </c>
      <c r="E11" s="57">
        <f>'Priya Kapoor'!D30</f>
        <v>400</v>
      </c>
      <c r="F11" s="1"/>
      <c r="G11" s="1"/>
      <c r="H11" s="1"/>
      <c r="I11" s="1"/>
      <c r="J11" s="1"/>
      <c r="K11" s="1"/>
      <c r="L11" s="1"/>
      <c r="M11" s="1"/>
      <c r="N11" s="1"/>
    </row>
    <row r="12" spans="1:14" x14ac:dyDescent="0.3">
      <c r="A12" s="1"/>
      <c r="B12" s="7" t="s">
        <v>255</v>
      </c>
      <c r="C12" s="30">
        <f>'Arjun Mehta'!G31</f>
        <v>0.13489999999999999</v>
      </c>
      <c r="D12" s="30">
        <f>'Suresh Rajan'!G30</f>
        <v>8.9099999999999999E-2</v>
      </c>
      <c r="E12" s="30">
        <f>'Priya Kapoor'!G30</f>
        <v>0.10305</v>
      </c>
      <c r="F12" s="1"/>
      <c r="G12" s="1"/>
      <c r="H12" s="1"/>
      <c r="I12" s="1"/>
      <c r="J12" s="1"/>
      <c r="K12" s="1"/>
      <c r="L12" s="1"/>
      <c r="M12" s="1"/>
      <c r="N12" s="1"/>
    </row>
    <row r="13" spans="1:14" x14ac:dyDescent="0.3">
      <c r="A13" s="1"/>
      <c r="B13" s="7" t="s">
        <v>256</v>
      </c>
      <c r="C13" s="58">
        <f>SQRT('Arjun Mehta'!H31)</f>
        <v>6.639322254567856E-2</v>
      </c>
      <c r="D13" s="58">
        <f>SQRT('Suresh Rajan'!H30)</f>
        <v>3.1957510854257722E-2</v>
      </c>
      <c r="E13" s="58">
        <f>SQRT('Priya Kapoor'!H30)</f>
        <v>4.5349972436595824E-2</v>
      </c>
      <c r="F13" s="1"/>
      <c r="G13" s="1"/>
      <c r="H13" s="1"/>
      <c r="I13" s="1"/>
      <c r="J13" s="1"/>
      <c r="K13" s="1"/>
      <c r="L13" s="1"/>
      <c r="M13" s="1"/>
      <c r="N13" s="1"/>
    </row>
    <row r="14" spans="1:14" x14ac:dyDescent="0.3">
      <c r="A14" s="1"/>
      <c r="B14" s="59" t="s">
        <v>167</v>
      </c>
      <c r="C14" s="60">
        <f>('Arjun Mehta'!G31-Assumptions!C8)/SQRT('Arjun Mehta'!H31)</f>
        <v>0.94738585639106121</v>
      </c>
      <c r="D14" s="60">
        <f>('Suresh Rajan'!G30-Assumptions!C8)/SQRT('Suresh Rajan'!H30)</f>
        <v>0.53508547890305291</v>
      </c>
      <c r="E14" s="60">
        <f>('Priya Kapoor'!G30-Assumptions!C8)/SQRT('Priya Kapoor'!H30)</f>
        <v>0.68467516807008588</v>
      </c>
      <c r="F14" s="1"/>
      <c r="G14" s="1"/>
      <c r="H14" s="1"/>
      <c r="I14" s="1"/>
      <c r="J14" s="1"/>
      <c r="K14" s="1"/>
      <c r="L14" s="1"/>
      <c r="M14" s="1"/>
      <c r="N14" s="1"/>
    </row>
    <row r="15" spans="1:14" x14ac:dyDescent="0.3">
      <c r="A15" s="1"/>
      <c r="B15" s="7" t="s">
        <v>257</v>
      </c>
      <c r="C15" s="57">
        <f>250*(1+'Arjun Mehta'!G31)^10</f>
        <v>886.16780701814878</v>
      </c>
      <c r="D15" s="57">
        <f>600*(1+'Suresh Rajan'!G30)^10</f>
        <v>1408.7334625796439</v>
      </c>
      <c r="E15" s="57">
        <f>400*(1+'Priya Kapoor'!G30)^10</f>
        <v>1066.6255459495692</v>
      </c>
      <c r="F15" s="1"/>
      <c r="G15" s="1"/>
      <c r="H15" s="1"/>
      <c r="I15" s="1"/>
      <c r="J15" s="1"/>
      <c r="K15" s="1"/>
      <c r="L15" s="1"/>
      <c r="M15" s="1"/>
      <c r="N15" s="1"/>
    </row>
    <row r="16" spans="1:14" x14ac:dyDescent="0.3">
      <c r="A16" s="1"/>
      <c r="B16" s="7" t="s">
        <v>258</v>
      </c>
      <c r="C16" s="30">
        <f>SUMIF('Arjun Mehta'!B22:B35,"*Equity*",'Arjun Mehta'!C22:C35)+SUMIF('Arjun Mehta'!B22:B35,"*PMS*",'Arjun Mehta'!C22:C35)</f>
        <v>0.75</v>
      </c>
      <c r="D16" s="30">
        <f>SUMIF('Suresh Rajan'!B22:B35,"*Equity*",'Suresh Rajan'!C22:C35)+SUMIF('Suresh Rajan'!B22:B35,"*PMS*",'Suresh Rajan'!C22:C35)</f>
        <v>0.15</v>
      </c>
      <c r="E16" s="30">
        <f>SUMIF('Priya Kapoor'!B22:B35,"*Equity*",'Priya Kapoor'!C22:C35)+SUMIF('Priya Kapoor'!B22:B35,"*PMS*",'Priya Kapoor'!C22:C35)</f>
        <v>0.30000000000000004</v>
      </c>
      <c r="F16" s="1"/>
      <c r="G16" s="1"/>
      <c r="H16" s="1"/>
      <c r="I16" s="1"/>
      <c r="J16" s="1"/>
      <c r="K16" s="1"/>
      <c r="L16" s="1"/>
      <c r="M16" s="1"/>
      <c r="N16" s="1"/>
    </row>
    <row r="17" spans="1:14" x14ac:dyDescent="0.3">
      <c r="A17" s="1"/>
      <c r="B17" s="7" t="s">
        <v>259</v>
      </c>
      <c r="C17" s="58">
        <f>SUMIF('Arjun Mehta'!B22:B35,"*Debt*",'Arjun Mehta'!C22:C35)+SUMIF('Arjun Mehta'!B22:B35,"*G-Sec*",'Arjun Mehta'!C22:C35)+SUMIF('Arjun Mehta'!B22:B35,"*Liquid*",'Arjun Mehta'!C22:C35)</f>
        <v>0.2</v>
      </c>
      <c r="D17" s="58">
        <f>SUMIF('Suresh Rajan'!B22:B35,"*Debt*",'Suresh Rajan'!C22:C35)+SUMIF('Suresh Rajan'!B22:B35,"*G-Sec*",'Suresh Rajan'!C22:C35)+SUMIF('Suresh Rajan'!B22:B35,"*Liquid*",'Suresh Rajan'!C22:C35)</f>
        <v>0.65000000000000013</v>
      </c>
      <c r="E17" s="58">
        <f>SUMIF('Priya Kapoor'!B22:B35,"*Debt*",'Priya Kapoor'!C22:C35)+SUMIF('Priya Kapoor'!B22:B35,"*G-Sec*",'Priya Kapoor'!C22:C35)+SUMIF('Priya Kapoor'!B22:B35,"*Liquid*",'Priya Kapoor'!C22:C35)</f>
        <v>0.44999999999999996</v>
      </c>
      <c r="F17" s="1"/>
      <c r="G17" s="1"/>
      <c r="H17" s="1"/>
      <c r="I17" s="1"/>
      <c r="J17" s="1"/>
      <c r="K17" s="1"/>
      <c r="L17" s="1"/>
      <c r="M17" s="1"/>
      <c r="N17" s="1"/>
    </row>
    <row r="18" spans="1:14" x14ac:dyDescent="0.3">
      <c r="A18" s="1"/>
      <c r="B18" s="7" t="s">
        <v>260</v>
      </c>
      <c r="C18" s="30">
        <f>SUMIF('Arjun Mehta'!B22:B35,"*AIF*",'Arjun Mehta'!C22:C35)+SUMIF('Arjun Mehta'!B22:B35,"*REIT*",'Arjun Mehta'!C22:C35)+SUMIF('Arjun Mehta'!B22:B35,"*Gold*",'Arjun Mehta'!C22:C35)+SUMIF('Arjun Mehta'!B22:B35,"*SGB*",'Arjun Mehta'!C22:C35)</f>
        <v>0.27</v>
      </c>
      <c r="D18" s="30">
        <f>SUMIF('Suresh Rajan'!B22:B35,"*AIF*",'Suresh Rajan'!C22:C35)+SUMIF('Suresh Rajan'!B22:B35,"*REIT*",'Suresh Rajan'!C22:C35)+SUMIF('Suresh Rajan'!B22:B35,"*Gold*",'Suresh Rajan'!C22:C35)+SUMIF('Suresh Rajan'!B22:B35,"*SGB*",'Suresh Rajan'!C22:C35)</f>
        <v>0.27</v>
      </c>
      <c r="E18" s="30">
        <f>SUMIF('Priya Kapoor'!B22:B35,"*AIF*",'Priya Kapoor'!C22:C35)+SUMIF('Priya Kapoor'!B22:B35,"*REIT*",'Priya Kapoor'!C22:C35)+SUMIF('Priya Kapoor'!B22:B35,"*Gold*",'Priya Kapoor'!C22:C35)+SUMIF('Priya Kapoor'!B22:B35,"*SGB*",'Priya Kapoor'!C22:C35)</f>
        <v>0.22999999999999998</v>
      </c>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1"/>
      <c r="C20" s="1"/>
      <c r="D20" s="1"/>
      <c r="E20" s="1"/>
      <c r="F20" s="1"/>
      <c r="G20" s="1"/>
      <c r="H20" s="1"/>
      <c r="I20" s="1"/>
      <c r="J20" s="1"/>
      <c r="K20" s="1"/>
      <c r="L20" s="1"/>
      <c r="M20" s="1"/>
      <c r="N20" s="1"/>
    </row>
    <row r="21" spans="1:14" x14ac:dyDescent="0.3">
      <c r="A21" s="1"/>
      <c r="B21" s="108" t="s">
        <v>261</v>
      </c>
      <c r="C21" s="74"/>
      <c r="D21" s="74"/>
      <c r="E21" s="74"/>
      <c r="F21" s="1"/>
      <c r="G21" s="1"/>
      <c r="H21" s="1"/>
      <c r="I21" s="1"/>
      <c r="J21" s="1"/>
      <c r="K21" s="1"/>
      <c r="L21" s="1"/>
      <c r="M21" s="1"/>
      <c r="N21" s="1"/>
    </row>
    <row r="22" spans="1:14" ht="90" customHeight="1" x14ac:dyDescent="0.3">
      <c r="A22" s="1"/>
      <c r="B22" s="105" t="s">
        <v>262</v>
      </c>
      <c r="C22" s="106"/>
      <c r="D22" s="106"/>
      <c r="E22" s="106"/>
      <c r="F22" s="1"/>
      <c r="G22" s="1"/>
      <c r="H22" s="1"/>
      <c r="I22" s="1"/>
      <c r="J22" s="1"/>
      <c r="K22" s="1"/>
      <c r="L22" s="1"/>
      <c r="M22" s="1"/>
      <c r="N22" s="1"/>
    </row>
    <row r="23" spans="1:14" x14ac:dyDescent="0.3">
      <c r="A23" s="1"/>
      <c r="B23" s="106"/>
      <c r="C23" s="106"/>
      <c r="D23" s="106"/>
      <c r="E23" s="106"/>
      <c r="F23" s="1"/>
      <c r="G23" s="1"/>
      <c r="H23" s="1"/>
      <c r="I23" s="1"/>
      <c r="J23" s="1"/>
      <c r="K23" s="1"/>
      <c r="L23" s="1"/>
      <c r="M23" s="1"/>
      <c r="N23" s="1"/>
    </row>
    <row r="24" spans="1:14" x14ac:dyDescent="0.3">
      <c r="A24" s="1"/>
      <c r="B24" s="106"/>
      <c r="C24" s="106"/>
      <c r="D24" s="106"/>
      <c r="E24" s="106"/>
      <c r="F24" s="1"/>
      <c r="G24" s="1"/>
      <c r="H24" s="1"/>
      <c r="I24" s="1"/>
      <c r="J24" s="1"/>
      <c r="K24" s="1"/>
      <c r="L24" s="1"/>
      <c r="M24" s="1"/>
      <c r="N24" s="1"/>
    </row>
    <row r="25" spans="1:14" x14ac:dyDescent="0.3">
      <c r="A25" s="1"/>
      <c r="B25" s="106"/>
      <c r="C25" s="106"/>
      <c r="D25" s="106"/>
      <c r="E25" s="106"/>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row r="28" spans="1:14" x14ac:dyDescent="0.3">
      <c r="A28" s="1"/>
      <c r="B28" s="82" t="s">
        <v>263</v>
      </c>
      <c r="C28" s="74"/>
      <c r="D28" s="74"/>
      <c r="E28" s="74"/>
      <c r="F28" s="1"/>
      <c r="G28" s="1"/>
      <c r="H28" s="1"/>
      <c r="I28" s="1"/>
      <c r="J28" s="1"/>
      <c r="K28" s="1"/>
      <c r="L28" s="1"/>
      <c r="M28" s="1"/>
      <c r="N28" s="1"/>
    </row>
    <row r="29" spans="1:14" x14ac:dyDescent="0.3">
      <c r="A29" s="1"/>
      <c r="B29" s="20" t="s">
        <v>264</v>
      </c>
      <c r="C29" s="20" t="s">
        <v>141</v>
      </c>
      <c r="D29" s="20" t="s">
        <v>142</v>
      </c>
      <c r="E29" s="20" t="s">
        <v>167</v>
      </c>
      <c r="F29" s="20" t="s">
        <v>265</v>
      </c>
      <c r="G29" s="1"/>
      <c r="H29" s="1"/>
      <c r="I29" s="1"/>
      <c r="J29" s="1"/>
      <c r="K29" s="1"/>
      <c r="L29" s="1"/>
      <c r="M29" s="1"/>
      <c r="N29" s="1"/>
    </row>
    <row r="30" spans="1:14" x14ac:dyDescent="0.3">
      <c r="A30" s="1"/>
      <c r="B30" s="11" t="s">
        <v>266</v>
      </c>
      <c r="C30" s="12">
        <v>0.10680000000000001</v>
      </c>
      <c r="D30" s="12">
        <v>0.1082</v>
      </c>
      <c r="E30" s="22">
        <f>(C30-Assumptions!C8)/D30</f>
        <v>0.32162661737523113</v>
      </c>
      <c r="F30" s="61" t="s">
        <v>267</v>
      </c>
      <c r="G30" s="1"/>
      <c r="H30" s="1"/>
      <c r="I30" s="1"/>
      <c r="J30" s="1"/>
      <c r="K30" s="1"/>
      <c r="L30" s="1"/>
      <c r="M30" s="1"/>
      <c r="N30" s="1"/>
    </row>
    <row r="31" spans="1:14" x14ac:dyDescent="0.3">
      <c r="A31" s="1"/>
      <c r="B31" s="5" t="s">
        <v>268</v>
      </c>
      <c r="C31" s="62">
        <f>'Arjun Mehta'!G31</f>
        <v>0.13489999999999999</v>
      </c>
      <c r="D31" s="62">
        <f>SQRT('Arjun Mehta'!H31)</f>
        <v>6.639322254567856E-2</v>
      </c>
      <c r="E31" s="63">
        <f>('Arjun Mehta'!G31-Assumptions!C8)/SQRT('Arjun Mehta'!H31)</f>
        <v>0.94738585639106121</v>
      </c>
      <c r="F31" s="64">
        <f>('Arjun Mehta'!G31-Assumptions!C8)/SQRT('Arjun Mehta'!H31)-E30</f>
        <v>0.62575923901583008</v>
      </c>
      <c r="G31" s="1"/>
      <c r="H31" s="1"/>
      <c r="I31" s="1"/>
      <c r="J31" s="1"/>
      <c r="K31" s="1"/>
      <c r="L31" s="1"/>
      <c r="M31" s="1"/>
      <c r="N31" s="1"/>
    </row>
    <row r="32" spans="1:14" x14ac:dyDescent="0.3">
      <c r="A32" s="1"/>
      <c r="B32" s="65" t="s">
        <v>269</v>
      </c>
      <c r="C32" s="66">
        <f>'Suresh Rajan'!G30</f>
        <v>8.9099999999999999E-2</v>
      </c>
      <c r="D32" s="66">
        <f>SQRT('Suresh Rajan'!H30)</f>
        <v>3.1957510854257722E-2</v>
      </c>
      <c r="E32" s="67">
        <f>('Suresh Rajan'!G30-Assumptions!C8)/SQRT('Suresh Rajan'!H30)</f>
        <v>0.53508547890305291</v>
      </c>
      <c r="F32" s="68">
        <f>('Suresh Rajan'!G30-Assumptions!C8)/SQRT('Suresh Rajan'!H30)-E30</f>
        <v>0.21345886152782179</v>
      </c>
      <c r="G32" s="1"/>
      <c r="H32" s="1"/>
      <c r="I32" s="1"/>
      <c r="J32" s="1"/>
      <c r="K32" s="1"/>
      <c r="L32" s="1"/>
      <c r="M32" s="1"/>
      <c r="N32" s="1"/>
    </row>
    <row r="33" spans="1:14" x14ac:dyDescent="0.3">
      <c r="A33" s="1"/>
      <c r="B33" s="69" t="s">
        <v>270</v>
      </c>
      <c r="C33" s="70">
        <f>'Priya Kapoor'!G30</f>
        <v>0.10305</v>
      </c>
      <c r="D33" s="70">
        <f>SQRT('Priya Kapoor'!H30)</f>
        <v>4.5349972436595824E-2</v>
      </c>
      <c r="E33" s="71">
        <f>('Priya Kapoor'!G30-Assumptions!C8)/SQRT('Priya Kapoor'!H30)</f>
        <v>0.68467516807008588</v>
      </c>
      <c r="F33" s="72">
        <f>('Priya Kapoor'!G30-Assumptions!C8)/SQRT('Priya Kapoor'!H30)-E30</f>
        <v>0.36304855069485475</v>
      </c>
      <c r="G33" s="1"/>
      <c r="H33" s="1"/>
      <c r="I33" s="1"/>
      <c r="J33" s="1"/>
      <c r="K33" s="1"/>
      <c r="L33" s="1"/>
      <c r="M33" s="1"/>
      <c r="N33" s="1"/>
    </row>
    <row r="34" spans="1:14" x14ac:dyDescent="0.3">
      <c r="A34" s="1"/>
      <c r="B34" s="1"/>
      <c r="C34" s="1"/>
      <c r="D34" s="1"/>
      <c r="E34" s="1"/>
      <c r="F34" s="1"/>
      <c r="G34" s="1"/>
      <c r="H34" s="1"/>
      <c r="I34" s="1"/>
      <c r="J34" s="1"/>
      <c r="K34" s="1"/>
      <c r="L34" s="1"/>
      <c r="M34" s="1"/>
      <c r="N34" s="1"/>
    </row>
    <row r="35" spans="1:14" x14ac:dyDescent="0.3">
      <c r="A35" s="1"/>
      <c r="B35" s="1"/>
      <c r="C35" s="1"/>
      <c r="D35" s="1"/>
      <c r="E35" s="1"/>
      <c r="F35" s="1"/>
      <c r="G35" s="1"/>
      <c r="H35" s="1"/>
      <c r="I35" s="1"/>
      <c r="J35" s="1"/>
      <c r="K35" s="1"/>
      <c r="L35" s="1"/>
      <c r="M35" s="1"/>
      <c r="N35" s="1"/>
    </row>
    <row r="36" spans="1:14" x14ac:dyDescent="0.3">
      <c r="A36" s="1"/>
      <c r="B36" s="109" t="s">
        <v>271</v>
      </c>
      <c r="C36" s="74"/>
      <c r="D36" s="74"/>
      <c r="E36" s="74"/>
      <c r="F36" s="1"/>
      <c r="G36" s="1"/>
      <c r="H36" s="1"/>
      <c r="I36" s="1"/>
      <c r="J36" s="1"/>
      <c r="K36" s="1"/>
      <c r="L36" s="1"/>
      <c r="M36" s="1"/>
      <c r="N36" s="1"/>
    </row>
    <row r="37" spans="1:14" x14ac:dyDescent="0.3">
      <c r="A37" s="1"/>
      <c r="B37" s="74"/>
      <c r="C37" s="74"/>
      <c r="D37" s="74"/>
      <c r="E37" s="74"/>
      <c r="F37" s="1"/>
      <c r="G37" s="1"/>
      <c r="H37" s="1"/>
      <c r="I37" s="1"/>
      <c r="J37" s="1"/>
      <c r="K37" s="1"/>
      <c r="L37" s="1"/>
      <c r="M37" s="1"/>
      <c r="N37" s="1"/>
    </row>
    <row r="38" spans="1:14" x14ac:dyDescent="0.3">
      <c r="A38" s="1"/>
      <c r="B38" s="1"/>
      <c r="C38" s="1"/>
      <c r="D38" s="1"/>
      <c r="E38" s="1"/>
      <c r="F38" s="1"/>
      <c r="G38" s="1"/>
      <c r="H38" s="1"/>
      <c r="I38" s="1"/>
      <c r="J38" s="1"/>
      <c r="K38" s="1"/>
      <c r="L38" s="1"/>
      <c r="M38" s="1"/>
      <c r="N38" s="1"/>
    </row>
    <row r="39" spans="1:14" x14ac:dyDescent="0.3">
      <c r="A39" s="1"/>
      <c r="B39" s="1"/>
      <c r="C39" s="1"/>
      <c r="D39" s="1"/>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
      <c r="C42" s="1"/>
      <c r="D42" s="1"/>
      <c r="E42" s="1"/>
      <c r="F42" s="1"/>
      <c r="G42" s="1"/>
      <c r="H42" s="1"/>
      <c r="I42" s="1"/>
      <c r="J42" s="1"/>
      <c r="K42" s="1"/>
      <c r="L42" s="1"/>
      <c r="M42" s="1"/>
      <c r="N42" s="1"/>
    </row>
    <row r="43" spans="1:14" x14ac:dyDescent="0.3">
      <c r="A43" s="1"/>
      <c r="B43" s="1"/>
      <c r="C43" s="1"/>
      <c r="D43" s="1"/>
      <c r="E43" s="1"/>
      <c r="F43" s="1"/>
      <c r="G43" s="1"/>
      <c r="H43" s="1"/>
      <c r="I43" s="1"/>
      <c r="J43" s="1"/>
      <c r="K43" s="1"/>
      <c r="L43" s="1"/>
      <c r="M43" s="1"/>
      <c r="N43" s="1"/>
    </row>
    <row r="44" spans="1:14" x14ac:dyDescent="0.3">
      <c r="A44" s="1"/>
      <c r="B44" s="1"/>
      <c r="C44" s="1"/>
      <c r="D44" s="1"/>
      <c r="E44" s="1"/>
      <c r="F44" s="1"/>
      <c r="G44" s="1"/>
      <c r="H44" s="1"/>
      <c r="I44" s="1"/>
      <c r="J44" s="1"/>
      <c r="K44" s="1"/>
      <c r="L44" s="1"/>
      <c r="M44" s="1"/>
      <c r="N44" s="1"/>
    </row>
    <row r="45" spans="1:14" x14ac:dyDescent="0.3">
      <c r="A45" s="1"/>
      <c r="B45" s="1"/>
      <c r="C45" s="1"/>
      <c r="D45" s="1"/>
      <c r="E45" s="1"/>
      <c r="F45" s="1"/>
      <c r="G45" s="1"/>
      <c r="H45" s="1"/>
      <c r="I45" s="1"/>
      <c r="J45" s="1"/>
      <c r="K45" s="1"/>
      <c r="L45" s="1"/>
      <c r="M45" s="1"/>
      <c r="N45" s="1"/>
    </row>
    <row r="46" spans="1:14" x14ac:dyDescent="0.3">
      <c r="A46" s="1"/>
      <c r="B46" s="1"/>
      <c r="C46" s="1"/>
      <c r="D46" s="1"/>
      <c r="E46" s="1"/>
      <c r="F46" s="1"/>
      <c r="G46" s="1"/>
      <c r="H46" s="1"/>
      <c r="I46" s="1"/>
      <c r="J46" s="1"/>
      <c r="K46" s="1"/>
      <c r="L46" s="1"/>
      <c r="M46" s="1"/>
      <c r="N46" s="1"/>
    </row>
    <row r="47" spans="1:14" x14ac:dyDescent="0.3">
      <c r="A47" s="1"/>
      <c r="B47" s="1"/>
      <c r="C47" s="1"/>
      <c r="D47" s="1"/>
      <c r="E47" s="1"/>
      <c r="F47" s="1"/>
      <c r="G47" s="1"/>
      <c r="H47" s="1"/>
      <c r="I47" s="1"/>
      <c r="J47" s="1"/>
      <c r="K47" s="1"/>
      <c r="L47" s="1"/>
      <c r="M47" s="1"/>
      <c r="N47" s="1"/>
    </row>
    <row r="48" spans="1:14" x14ac:dyDescent="0.3">
      <c r="A48" s="1"/>
      <c r="B48" s="1"/>
      <c r="C48" s="1"/>
      <c r="D48" s="1"/>
      <c r="E48" s="1"/>
      <c r="F48" s="1"/>
      <c r="G48" s="1"/>
      <c r="H48" s="1"/>
      <c r="I48" s="1"/>
      <c r="J48" s="1"/>
      <c r="K48" s="1"/>
      <c r="L48" s="1"/>
      <c r="M48" s="1"/>
      <c r="N48" s="1"/>
    </row>
    <row r="49" spans="1:14" x14ac:dyDescent="0.3">
      <c r="A49" s="1"/>
      <c r="B49" s="1"/>
      <c r="C49" s="1"/>
      <c r="D49" s="1"/>
      <c r="E49" s="1"/>
      <c r="F49" s="1"/>
      <c r="G49" s="1"/>
      <c r="H49" s="1"/>
      <c r="I49" s="1"/>
      <c r="J49" s="1"/>
      <c r="K49" s="1"/>
      <c r="L49" s="1"/>
      <c r="M49" s="1"/>
      <c r="N49" s="1"/>
    </row>
    <row r="50" spans="1:14" x14ac:dyDescent="0.3">
      <c r="A50" s="1"/>
      <c r="B50" s="1"/>
      <c r="C50" s="1"/>
      <c r="D50" s="1"/>
      <c r="E50" s="1"/>
      <c r="F50" s="1"/>
      <c r="G50" s="1"/>
      <c r="H50" s="1"/>
      <c r="I50" s="1"/>
      <c r="J50" s="1"/>
      <c r="K50" s="1"/>
      <c r="L50" s="1"/>
      <c r="M50" s="1"/>
      <c r="N50" s="1"/>
    </row>
    <row r="51" spans="1:14" x14ac:dyDescent="0.3">
      <c r="A51" s="1"/>
      <c r="B51" s="1"/>
      <c r="C51" s="1"/>
      <c r="D51" s="1"/>
      <c r="E51" s="1"/>
      <c r="F51" s="1"/>
      <c r="G51" s="1"/>
      <c r="H51" s="1"/>
      <c r="I51" s="1"/>
      <c r="J51" s="1"/>
      <c r="K51" s="1"/>
      <c r="L51" s="1"/>
      <c r="M51" s="1"/>
      <c r="N51" s="1"/>
    </row>
    <row r="52" spans="1:14" x14ac:dyDescent="0.3">
      <c r="A52" s="1"/>
      <c r="B52" s="1"/>
      <c r="C52" s="1"/>
      <c r="D52" s="1"/>
      <c r="E52" s="1"/>
      <c r="F52" s="1"/>
      <c r="G52" s="1"/>
      <c r="H52" s="1"/>
      <c r="I52" s="1"/>
      <c r="J52" s="1"/>
      <c r="K52" s="1"/>
      <c r="L52" s="1"/>
      <c r="M52" s="1"/>
      <c r="N52" s="1"/>
    </row>
    <row r="53" spans="1:14" x14ac:dyDescent="0.3">
      <c r="A53" s="1"/>
      <c r="B53" s="1"/>
      <c r="C53" s="1"/>
      <c r="D53" s="1"/>
      <c r="E53" s="1"/>
      <c r="F53" s="1"/>
      <c r="G53" s="1"/>
      <c r="H53" s="1"/>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1"/>
      <c r="C55" s="1"/>
      <c r="D55" s="1"/>
      <c r="E55" s="1"/>
      <c r="F55" s="1"/>
      <c r="G55" s="1"/>
      <c r="H55" s="1"/>
      <c r="I55" s="1"/>
      <c r="J55" s="1"/>
      <c r="K55" s="1"/>
      <c r="L55" s="1"/>
      <c r="M55" s="1"/>
      <c r="N55" s="1"/>
    </row>
    <row r="56" spans="1:14" x14ac:dyDescent="0.3">
      <c r="A56" s="1"/>
      <c r="B56" s="1"/>
      <c r="C56" s="1"/>
      <c r="D56" s="1"/>
      <c r="E56" s="1"/>
      <c r="F56" s="1"/>
      <c r="G56" s="1"/>
      <c r="H56" s="1"/>
      <c r="I56" s="1"/>
      <c r="J56" s="1"/>
      <c r="K56" s="1"/>
      <c r="L56" s="1"/>
      <c r="M56" s="1"/>
      <c r="N56" s="1"/>
    </row>
    <row r="57" spans="1:14" x14ac:dyDescent="0.3">
      <c r="A57" s="1"/>
      <c r="B57" s="1"/>
      <c r="C57" s="1"/>
      <c r="D57" s="1"/>
      <c r="E57" s="1"/>
      <c r="F57" s="1"/>
      <c r="G57" s="1"/>
      <c r="H57" s="1"/>
      <c r="I57" s="1"/>
      <c r="J57" s="1"/>
      <c r="K57" s="1"/>
      <c r="L57" s="1"/>
      <c r="M57" s="1"/>
      <c r="N57" s="1"/>
    </row>
    <row r="58" spans="1:14" x14ac:dyDescent="0.3">
      <c r="A58" s="1"/>
      <c r="B58" s="1"/>
      <c r="C58" s="1"/>
      <c r="D58" s="1"/>
      <c r="E58" s="1"/>
      <c r="F58" s="1"/>
      <c r="G58" s="1"/>
      <c r="H58" s="1"/>
      <c r="I58" s="1"/>
      <c r="J58" s="1"/>
      <c r="K58" s="1"/>
      <c r="L58" s="1"/>
      <c r="M58" s="1"/>
      <c r="N58" s="1"/>
    </row>
    <row r="59" spans="1:14" x14ac:dyDescent="0.3">
      <c r="A59" s="1"/>
      <c r="B59" s="1"/>
      <c r="C59" s="1"/>
      <c r="D59" s="1"/>
      <c r="E59" s="1"/>
      <c r="F59" s="1"/>
      <c r="G59" s="1"/>
      <c r="H59" s="1"/>
      <c r="I59" s="1"/>
      <c r="J59" s="1"/>
      <c r="K59" s="1"/>
      <c r="L59" s="1"/>
      <c r="M59" s="1"/>
      <c r="N59" s="1"/>
    </row>
    <row r="60" spans="1:14" x14ac:dyDescent="0.3">
      <c r="A60" s="1"/>
      <c r="B60" s="1"/>
      <c r="C60" s="1"/>
      <c r="D60" s="1"/>
      <c r="E60" s="1"/>
      <c r="F60" s="1"/>
      <c r="G60" s="1"/>
      <c r="H60" s="1"/>
      <c r="I60" s="1"/>
      <c r="J60" s="1"/>
      <c r="K60" s="1"/>
      <c r="L60" s="1"/>
      <c r="M60" s="1"/>
      <c r="N60" s="1"/>
    </row>
    <row r="61" spans="1:14" x14ac:dyDescent="0.3">
      <c r="A61" s="1"/>
      <c r="B61" s="1"/>
      <c r="C61" s="1"/>
      <c r="D61" s="1"/>
      <c r="E61" s="1"/>
      <c r="F61" s="1"/>
      <c r="G61" s="1"/>
      <c r="H61" s="1"/>
      <c r="I61" s="1"/>
      <c r="J61" s="1"/>
      <c r="K61" s="1"/>
      <c r="L61" s="1"/>
      <c r="M61" s="1"/>
      <c r="N61" s="1"/>
    </row>
    <row r="62" spans="1:14" x14ac:dyDescent="0.3">
      <c r="A62" s="1"/>
      <c r="B62" s="1"/>
      <c r="C62" s="1"/>
      <c r="D62" s="1"/>
      <c r="E62" s="1"/>
      <c r="F62" s="1"/>
      <c r="G62" s="1"/>
      <c r="H62" s="1"/>
      <c r="I62" s="1"/>
      <c r="J62" s="1"/>
      <c r="K62" s="1"/>
      <c r="L62" s="1"/>
      <c r="M62" s="1"/>
      <c r="N62" s="1"/>
    </row>
    <row r="63" spans="1:14" x14ac:dyDescent="0.3">
      <c r="A63" s="1"/>
      <c r="B63" s="1"/>
      <c r="C63" s="1"/>
      <c r="D63" s="1"/>
      <c r="E63" s="1"/>
      <c r="F63" s="1"/>
      <c r="G63" s="1"/>
      <c r="H63" s="1"/>
      <c r="I63" s="1"/>
      <c r="J63" s="1"/>
      <c r="K63" s="1"/>
      <c r="L63" s="1"/>
      <c r="M63" s="1"/>
      <c r="N63" s="1"/>
    </row>
    <row r="64" spans="1:14" x14ac:dyDescent="0.3">
      <c r="A64" s="1"/>
      <c r="B64" s="1"/>
      <c r="C64" s="1"/>
      <c r="D64" s="1"/>
      <c r="E64" s="1"/>
      <c r="F64" s="1"/>
      <c r="G64" s="1"/>
      <c r="H64" s="1"/>
      <c r="I64" s="1"/>
      <c r="J64" s="1"/>
      <c r="K64" s="1"/>
      <c r="L64" s="1"/>
      <c r="M64" s="1"/>
      <c r="N64" s="1"/>
    </row>
    <row r="65" spans="1:14" x14ac:dyDescent="0.3">
      <c r="A65" s="1"/>
      <c r="B65" s="1"/>
      <c r="C65" s="1"/>
      <c r="D65" s="1"/>
      <c r="E65" s="1"/>
      <c r="F65" s="1"/>
      <c r="G65" s="1"/>
      <c r="H65" s="1"/>
      <c r="I65" s="1"/>
      <c r="J65" s="1"/>
      <c r="K65" s="1"/>
      <c r="L65" s="1"/>
      <c r="M65" s="1"/>
      <c r="N65" s="1"/>
    </row>
    <row r="66" spans="1:14" x14ac:dyDescent="0.3">
      <c r="A66" s="1"/>
      <c r="B66" s="1"/>
      <c r="C66" s="1"/>
      <c r="D66" s="1"/>
      <c r="E66" s="1"/>
      <c r="F66" s="1"/>
      <c r="G66" s="1"/>
      <c r="H66" s="1"/>
      <c r="I66" s="1"/>
      <c r="J66" s="1"/>
      <c r="K66" s="1"/>
      <c r="L66" s="1"/>
      <c r="M66" s="1"/>
      <c r="N66" s="1"/>
    </row>
    <row r="67" spans="1:14" x14ac:dyDescent="0.3">
      <c r="A67" s="1"/>
      <c r="B67" s="1"/>
      <c r="C67" s="1"/>
      <c r="D67" s="1"/>
      <c r="E67" s="1"/>
      <c r="F67" s="1"/>
      <c r="G67" s="1"/>
      <c r="H67" s="1"/>
      <c r="I67" s="1"/>
      <c r="J67" s="1"/>
      <c r="K67" s="1"/>
      <c r="L67" s="1"/>
      <c r="M67" s="1"/>
      <c r="N67" s="1"/>
    </row>
    <row r="68" spans="1:14" x14ac:dyDescent="0.3">
      <c r="A68" s="1"/>
      <c r="B68" s="1"/>
      <c r="C68" s="1"/>
      <c r="D68" s="1"/>
      <c r="E68" s="1"/>
      <c r="F68" s="1"/>
      <c r="G68" s="1"/>
      <c r="H68" s="1"/>
      <c r="I68" s="1"/>
      <c r="J68" s="1"/>
      <c r="K68" s="1"/>
      <c r="L68" s="1"/>
      <c r="M68" s="1"/>
      <c r="N68" s="1"/>
    </row>
    <row r="69" spans="1:14" x14ac:dyDescent="0.3">
      <c r="A69" s="1"/>
      <c r="B69" s="1"/>
      <c r="C69" s="1"/>
      <c r="D69" s="1"/>
      <c r="E69" s="1"/>
      <c r="F69" s="1"/>
      <c r="G69" s="1"/>
      <c r="H69" s="1"/>
      <c r="I69" s="1"/>
      <c r="J69" s="1"/>
      <c r="K69" s="1"/>
      <c r="L69" s="1"/>
      <c r="M69" s="1"/>
      <c r="N69" s="1"/>
    </row>
    <row r="70" spans="1:14" x14ac:dyDescent="0.3">
      <c r="A70" s="1"/>
      <c r="B70" s="1"/>
      <c r="C70" s="1"/>
      <c r="D70" s="1"/>
      <c r="E70" s="1"/>
      <c r="F70" s="1"/>
      <c r="G70" s="1"/>
      <c r="H70" s="1"/>
      <c r="I70" s="1"/>
      <c r="J70" s="1"/>
      <c r="K70" s="1"/>
      <c r="L70" s="1"/>
      <c r="M70" s="1"/>
      <c r="N70" s="1"/>
    </row>
    <row r="71" spans="1:14" x14ac:dyDescent="0.3">
      <c r="A71" s="1"/>
      <c r="B71" s="1"/>
      <c r="C71" s="1"/>
      <c r="D71" s="1"/>
      <c r="E71" s="1"/>
      <c r="F71" s="1"/>
      <c r="G71" s="1"/>
      <c r="H71" s="1"/>
      <c r="I71" s="1"/>
      <c r="J71" s="1"/>
      <c r="K71" s="1"/>
      <c r="L71" s="1"/>
      <c r="M71" s="1"/>
      <c r="N71" s="1"/>
    </row>
    <row r="72" spans="1:14" x14ac:dyDescent="0.3">
      <c r="A72" s="1"/>
      <c r="B72" s="1"/>
      <c r="C72" s="1"/>
      <c r="D72" s="1"/>
      <c r="E72" s="1"/>
      <c r="F72" s="1"/>
      <c r="G72" s="1"/>
      <c r="H72" s="1"/>
      <c r="I72" s="1"/>
      <c r="J72" s="1"/>
      <c r="K72" s="1"/>
      <c r="L72" s="1"/>
      <c r="M72" s="1"/>
      <c r="N72" s="1"/>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1"/>
      <c r="C75" s="1"/>
      <c r="D75" s="1"/>
      <c r="E75" s="1"/>
      <c r="F75" s="1"/>
      <c r="G75" s="1"/>
      <c r="H75" s="1"/>
      <c r="I75" s="1"/>
      <c r="J75" s="1"/>
      <c r="K75" s="1"/>
      <c r="L75" s="1"/>
      <c r="M75" s="1"/>
      <c r="N75" s="1"/>
    </row>
    <row r="76" spans="1:14" x14ac:dyDescent="0.3">
      <c r="A76" s="1"/>
      <c r="B76" s="1"/>
      <c r="C76" s="1"/>
      <c r="D76" s="1"/>
      <c r="E76" s="1"/>
      <c r="F76" s="1"/>
      <c r="G76" s="1"/>
      <c r="H76" s="1"/>
      <c r="I76" s="1"/>
      <c r="J76" s="1"/>
      <c r="K76" s="1"/>
      <c r="L76" s="1"/>
      <c r="M76" s="1"/>
      <c r="N76" s="1"/>
    </row>
    <row r="77" spans="1:14" x14ac:dyDescent="0.3">
      <c r="A77" s="1"/>
      <c r="B77" s="1"/>
      <c r="C77" s="1"/>
      <c r="D77" s="1"/>
      <c r="E77" s="1"/>
      <c r="F77" s="1"/>
      <c r="G77" s="1"/>
      <c r="H77" s="1"/>
      <c r="I77" s="1"/>
      <c r="J77" s="1"/>
      <c r="K77" s="1"/>
      <c r="L77" s="1"/>
      <c r="M77" s="1"/>
      <c r="N77" s="1"/>
    </row>
    <row r="78" spans="1:14" x14ac:dyDescent="0.3">
      <c r="A78" s="1"/>
      <c r="B78" s="1"/>
      <c r="C78" s="1"/>
      <c r="D78" s="1"/>
      <c r="E78" s="1"/>
      <c r="F78" s="1"/>
      <c r="G78" s="1"/>
      <c r="H78" s="1"/>
      <c r="I78" s="1"/>
      <c r="J78" s="1"/>
      <c r="K78" s="1"/>
      <c r="L78" s="1"/>
      <c r="M78" s="1"/>
      <c r="N78" s="1"/>
    </row>
    <row r="79" spans="1:14" x14ac:dyDescent="0.3">
      <c r="A79" s="1"/>
      <c r="B79" s="1"/>
      <c r="C79" s="1"/>
      <c r="D79" s="1"/>
      <c r="E79" s="1"/>
      <c r="F79" s="1"/>
      <c r="G79" s="1"/>
      <c r="H79" s="1"/>
      <c r="I79" s="1"/>
      <c r="J79" s="1"/>
      <c r="K79" s="1"/>
      <c r="L79" s="1"/>
      <c r="M79" s="1"/>
      <c r="N79" s="1"/>
    </row>
    <row r="80" spans="1:14" x14ac:dyDescent="0.3">
      <c r="A80" s="1"/>
      <c r="B80" s="1"/>
      <c r="C80" s="1"/>
      <c r="D80" s="1"/>
      <c r="E80" s="1"/>
      <c r="F80" s="1"/>
      <c r="G80" s="1"/>
      <c r="H80" s="1"/>
      <c r="I80" s="1"/>
      <c r="J80" s="1"/>
      <c r="K80" s="1"/>
      <c r="L80" s="1"/>
      <c r="M80" s="1"/>
      <c r="N80" s="1"/>
    </row>
    <row r="81" spans="1:14" x14ac:dyDescent="0.3">
      <c r="A81" s="1"/>
      <c r="B81" s="1"/>
      <c r="C81" s="1"/>
      <c r="D81" s="1"/>
      <c r="E81" s="1"/>
      <c r="F81" s="1"/>
      <c r="G81" s="1"/>
      <c r="H81" s="1"/>
      <c r="I81" s="1"/>
      <c r="J81" s="1"/>
      <c r="K81" s="1"/>
      <c r="L81" s="1"/>
      <c r="M81" s="1"/>
      <c r="N81" s="1"/>
    </row>
    <row r="82" spans="1:14" x14ac:dyDescent="0.3">
      <c r="A82" s="1"/>
      <c r="B82" s="1"/>
      <c r="C82" s="1"/>
      <c r="D82" s="1"/>
      <c r="E82" s="1"/>
      <c r="F82" s="1"/>
      <c r="G82" s="1"/>
      <c r="H82" s="1"/>
      <c r="I82" s="1"/>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1"/>
      <c r="C84" s="1"/>
      <c r="D84" s="1"/>
      <c r="E84" s="1"/>
      <c r="F84" s="1"/>
      <c r="G84" s="1"/>
      <c r="H84" s="1"/>
      <c r="I84" s="1"/>
      <c r="J84" s="1"/>
      <c r="K84" s="1"/>
      <c r="L84" s="1"/>
      <c r="M84" s="1"/>
      <c r="N84" s="1"/>
    </row>
    <row r="85" spans="1:14" x14ac:dyDescent="0.3">
      <c r="A85" s="1"/>
      <c r="B85" s="1"/>
      <c r="C85" s="1"/>
      <c r="D85" s="1"/>
      <c r="E85" s="1"/>
      <c r="F85" s="1"/>
      <c r="G85" s="1"/>
      <c r="H85" s="1"/>
      <c r="I85" s="1"/>
      <c r="J85" s="1"/>
      <c r="K85" s="1"/>
      <c r="L85" s="1"/>
      <c r="M85" s="1"/>
      <c r="N85" s="1"/>
    </row>
    <row r="86" spans="1:14" x14ac:dyDescent="0.3">
      <c r="A86" s="1"/>
      <c r="B86" s="1"/>
      <c r="C86" s="1"/>
      <c r="D86" s="1"/>
      <c r="E86" s="1"/>
      <c r="F86" s="1"/>
      <c r="G86" s="1"/>
      <c r="H86" s="1"/>
      <c r="I86" s="1"/>
      <c r="J86" s="1"/>
      <c r="K86" s="1"/>
      <c r="L86" s="1"/>
      <c r="M86" s="1"/>
      <c r="N86" s="1"/>
    </row>
    <row r="87" spans="1:14" x14ac:dyDescent="0.3">
      <c r="A87" s="1"/>
      <c r="B87" s="1"/>
      <c r="C87" s="1"/>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1"/>
      <c r="C90" s="1"/>
      <c r="D90" s="1"/>
      <c r="E90" s="1"/>
      <c r="F90" s="1"/>
      <c r="G90" s="1"/>
      <c r="H90" s="1"/>
      <c r="I90" s="1"/>
      <c r="J90" s="1"/>
      <c r="K90" s="1"/>
      <c r="L90" s="1"/>
      <c r="M90" s="1"/>
      <c r="N90" s="1"/>
    </row>
    <row r="91" spans="1:14" x14ac:dyDescent="0.3">
      <c r="A91" s="1"/>
      <c r="B91" s="1"/>
      <c r="C91" s="1"/>
      <c r="D91" s="1"/>
      <c r="E91" s="1"/>
      <c r="F91" s="1"/>
      <c r="G91" s="1"/>
      <c r="H91" s="1"/>
      <c r="I91" s="1"/>
      <c r="J91" s="1"/>
      <c r="K91" s="1"/>
      <c r="L91" s="1"/>
      <c r="M91" s="1"/>
      <c r="N91" s="1"/>
    </row>
    <row r="92" spans="1:14" x14ac:dyDescent="0.3">
      <c r="A92" s="1"/>
      <c r="B92" s="1"/>
      <c r="C92" s="1"/>
      <c r="D92" s="1"/>
      <c r="E92" s="1"/>
      <c r="F92" s="1"/>
      <c r="G92" s="1"/>
      <c r="H92" s="1"/>
      <c r="I92" s="1"/>
      <c r="J92" s="1"/>
      <c r="K92" s="1"/>
      <c r="L92" s="1"/>
      <c r="M92" s="1"/>
      <c r="N92" s="1"/>
    </row>
    <row r="93" spans="1:14" x14ac:dyDescent="0.3">
      <c r="A93" s="1"/>
      <c r="B93" s="1"/>
      <c r="C93" s="1"/>
      <c r="D93" s="1"/>
      <c r="E93" s="1"/>
      <c r="F93" s="1"/>
      <c r="G93" s="1"/>
      <c r="H93" s="1"/>
      <c r="I93" s="1"/>
      <c r="J93" s="1"/>
      <c r="K93" s="1"/>
      <c r="L93" s="1"/>
      <c r="M93" s="1"/>
      <c r="N93" s="1"/>
    </row>
    <row r="94" spans="1:14" x14ac:dyDescent="0.3">
      <c r="A94" s="1"/>
      <c r="B94" s="1"/>
      <c r="C94" s="1"/>
      <c r="D94" s="1"/>
      <c r="E94" s="1"/>
      <c r="F94" s="1"/>
      <c r="G94" s="1"/>
      <c r="H94" s="1"/>
      <c r="I94" s="1"/>
      <c r="J94" s="1"/>
      <c r="K94" s="1"/>
      <c r="L94" s="1"/>
      <c r="M94" s="1"/>
      <c r="N94" s="1"/>
    </row>
    <row r="95" spans="1:14" x14ac:dyDescent="0.3">
      <c r="A95" s="1"/>
      <c r="B95" s="1"/>
      <c r="C95" s="1"/>
      <c r="D95" s="1"/>
      <c r="E95" s="1"/>
      <c r="F95" s="1"/>
      <c r="G95" s="1"/>
      <c r="H95" s="1"/>
      <c r="I95" s="1"/>
      <c r="J95" s="1"/>
      <c r="K95" s="1"/>
      <c r="L95" s="1"/>
      <c r="M95" s="1"/>
      <c r="N95" s="1"/>
    </row>
    <row r="96" spans="1:14" x14ac:dyDescent="0.3">
      <c r="A96" s="1"/>
      <c r="B96" s="1"/>
      <c r="C96" s="1"/>
      <c r="D96" s="1"/>
      <c r="E96" s="1"/>
      <c r="F96" s="1"/>
      <c r="G96" s="1"/>
      <c r="H96" s="1"/>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sheetData>
  <mergeCells count="7">
    <mergeCell ref="B22:E25"/>
    <mergeCell ref="B2:F4"/>
    <mergeCell ref="B21:E21"/>
    <mergeCell ref="B5:F5"/>
    <mergeCell ref="B36:E37"/>
    <mergeCell ref="B7:E7"/>
    <mergeCell ref="B28:E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Assumptions</vt:lpstr>
      <vt:lpstr>Arjun Mehta</vt:lpstr>
      <vt:lpstr>Suresh Rajan</vt:lpstr>
      <vt:lpstr>Priya Kapoor</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 R</dc:creator>
  <cp:lastModifiedBy>SUBASH R</cp:lastModifiedBy>
  <dcterms:created xsi:type="dcterms:W3CDTF">2026-06-18T15:50:50Z</dcterms:created>
  <dcterms:modified xsi:type="dcterms:W3CDTF">2026-09-04T03:41:47Z</dcterms:modified>
</cp:coreProperties>
</file>