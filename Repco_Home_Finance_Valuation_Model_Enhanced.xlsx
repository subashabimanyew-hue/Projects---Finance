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JARAJAN\Desktop\Pro Re\"/>
    </mc:Choice>
  </mc:AlternateContent>
  <xr:revisionPtr revIDLastSave="0" documentId="8_{DA516E06-56E1-4E3B-803C-B2C15BB09826}" xr6:coauthVersionLast="47" xr6:coauthVersionMax="47" xr10:uidLastSave="{00000000-0000-0000-0000-000000000000}"/>
  <bookViews>
    <workbookView xWindow="-108" yWindow="-108" windowWidth="23256" windowHeight="13176" tabRatio="500" firstSheet="3" activeTab="4" xr2:uid="{00000000-000D-0000-FFFF-FFFF00000000}"/>
  </bookViews>
  <sheets>
    <sheet name="1. Cover &amp; Dashboard" sheetId="1" r:id="rId1"/>
    <sheet name="2. Reverse Engineering" sheetId="2" r:id="rId2"/>
    <sheet name="3. Financial Projections" sheetId="3" r:id="rId3"/>
    <sheet name="4. Residual Income Valuation" sheetId="4" r:id="rId4"/>
    <sheet name="5.Sensitivity analysis" sheetId="5" r:id="rId5"/>
    <sheet name="6. Methodology 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4" l="1"/>
  <c r="B41" i="4"/>
  <c r="B25" i="4"/>
  <c r="C13" i="4"/>
  <c r="C9" i="4"/>
  <c r="C11" i="4" s="1"/>
  <c r="B6" i="4"/>
  <c r="D13" i="4" s="1"/>
  <c r="D22" i="3"/>
  <c r="C22" i="3"/>
  <c r="B22" i="3"/>
  <c r="D21" i="3"/>
  <c r="E21" i="3" s="1"/>
  <c r="C18" i="3"/>
  <c r="C24" i="3" s="1"/>
  <c r="B18" i="3"/>
  <c r="B24" i="3" s="1"/>
  <c r="E8" i="3"/>
  <c r="D8" i="3"/>
  <c r="C8" i="3"/>
  <c r="B8" i="3"/>
  <c r="F16" i="5"/>
  <c r="E16" i="5"/>
  <c r="F14" i="5"/>
  <c r="D8" i="5"/>
  <c r="F15" i="5" s="1"/>
  <c r="I5" i="5"/>
  <c r="E14" i="5" s="1"/>
  <c r="H5" i="5"/>
  <c r="G5" i="5"/>
  <c r="E15" i="5" s="1"/>
  <c r="E5" i="5"/>
  <c r="E22" i="3" l="1"/>
  <c r="E11" i="3"/>
  <c r="D10" i="4"/>
  <c r="C10" i="4"/>
  <c r="B35" i="4"/>
  <c r="C35" i="4"/>
  <c r="B10" i="3"/>
  <c r="B11" i="3" s="1"/>
  <c r="C10" i="3"/>
  <c r="C11" i="3" s="1"/>
  <c r="D10" i="3"/>
  <c r="D11" i="3" s="1"/>
  <c r="D15" i="3" s="1"/>
  <c r="C26" i="3"/>
  <c r="E10" i="3"/>
  <c r="D26" i="3"/>
  <c r="D9" i="4" l="1"/>
  <c r="D11" i="4" s="1"/>
  <c r="D12" i="4" s="1"/>
  <c r="D17" i="3"/>
  <c r="D18" i="3" s="1"/>
  <c r="D24" i="3" s="1"/>
  <c r="E15" i="3"/>
  <c r="E26" i="3"/>
  <c r="B34" i="4"/>
  <c r="B36" i="4" s="1"/>
  <c r="C12" i="4"/>
  <c r="E10" i="4"/>
  <c r="C37" i="4" l="1"/>
  <c r="D14" i="4"/>
  <c r="C34" i="4"/>
  <c r="B37" i="4"/>
  <c r="C14" i="4"/>
  <c r="B22" i="4" s="1"/>
  <c r="G10" i="5"/>
  <c r="E18" i="3"/>
  <c r="E24" i="3" s="1"/>
  <c r="E9" i="4"/>
  <c r="E11" i="4" s="1"/>
  <c r="E12" i="4" s="1"/>
  <c r="B18" i="4" s="1"/>
  <c r="B19" i="4" s="1"/>
  <c r="B23" i="4" s="1"/>
  <c r="E17" i="3"/>
  <c r="F10" i="5" l="1"/>
  <c r="E7" i="5"/>
  <c r="G9" i="5"/>
  <c r="G8" i="5"/>
  <c r="G6" i="5"/>
  <c r="H10" i="5"/>
  <c r="B42" i="4"/>
  <c r="B43" i="4" s="1"/>
  <c r="B45" i="4" s="1"/>
  <c r="C36" i="4"/>
  <c r="B21" i="1" s="1"/>
  <c r="E8" i="5"/>
  <c r="H9" i="5"/>
  <c r="E10" i="5"/>
  <c r="E9" i="5"/>
  <c r="H6" i="5"/>
  <c r="F8" i="5"/>
  <c r="F7" i="5"/>
  <c r="F6" i="5"/>
  <c r="I9" i="5"/>
  <c r="H8" i="5"/>
  <c r="B24" i="4"/>
  <c r="B26" i="4" s="1"/>
  <c r="B28" i="4" s="1"/>
  <c r="F9" i="5"/>
  <c r="E6" i="5"/>
  <c r="I8" i="5"/>
  <c r="G7" i="5"/>
  <c r="I7" i="5"/>
  <c r="I10" i="5"/>
  <c r="I6" i="5"/>
  <c r="H7" i="5"/>
  <c r="B30" i="4" l="1"/>
  <c r="B14" i="1" s="1"/>
  <c r="B13" i="1"/>
  <c r="B20" i="1"/>
  <c r="G16" i="5"/>
  <c r="H16" i="5" s="1"/>
  <c r="G15" i="5"/>
  <c r="H15" i="5" s="1"/>
  <c r="B19" i="1"/>
  <c r="B18" i="1"/>
  <c r="G14" i="5"/>
  <c r="H14" i="5" s="1"/>
  <c r="D19" i="5"/>
</calcChain>
</file>

<file path=xl/sharedStrings.xml><?xml version="1.0" encoding="utf-8"?>
<sst xmlns="http://schemas.openxmlformats.org/spreadsheetml/2006/main" count="243" uniqueCount="222">
  <si>
    <t>REPCO HOME FINANCE LIMITED - VALUATION MODEL</t>
  </si>
  <si>
    <t>Integrated Residual Income (Excess Return) Model</t>
  </si>
  <si>
    <t>Author / Analyst:</t>
  </si>
  <si>
    <t>Subash R.</t>
  </si>
  <si>
    <t>Institution / Context:</t>
  </si>
  <si>
    <t>Bharathidasan Institute of Management (BIM) - PGP Section-A (Roll: 42052)</t>
  </si>
  <si>
    <t>Purpose:</t>
  </si>
  <si>
    <t>Academic Panel Presentation &amp; Model Template Formulation</t>
  </si>
  <si>
    <t>Date / Timestamp:</t>
  </si>
  <si>
    <t>August 2026</t>
  </si>
  <si>
    <t>COMPANY OVERVIEW</t>
  </si>
  <si>
    <t>Company Name:</t>
  </si>
  <si>
    <t>Repco Home Finance Ltd</t>
  </si>
  <si>
    <t>Sector:</t>
  </si>
  <si>
    <t>Housing Finance Company (HFC)</t>
  </si>
  <si>
    <t>Current Market Price (CMP):</t>
  </si>
  <si>
    <t>Intrinsic Value per Share:</t>
  </si>
  <si>
    <t>Implied Upside:</t>
  </si>
  <si>
    <t>Recommendation:</t>
  </si>
  <si>
    <t>Undervalued under Base-Case assumptions (see Sensitivity, Sheet 5, before treating as a Buy call)</t>
  </si>
  <si>
    <t>VALUATION RANGE &amp; VALUE CREATION CHECK</t>
  </si>
  <si>
    <t>Bear Case (Ke 13%, g 3%) Value/Share:</t>
  </si>
  <si>
    <t>Base Case (Ke 11.46%, g 5%) Value/Share:</t>
  </si>
  <si>
    <t>Bull Case (Ke 9%, g 7%) Value/Share:</t>
  </si>
  <si>
    <t>FY28E ROE vs Cost of Equity (Value Spread):</t>
  </si>
  <si>
    <t>Note:</t>
  </si>
  <si>
    <t>Positive spread = ROE exceeds Ke = the company is creating economic value, not merely reporting accounting profit. Full sensitivity grid on Sheet 5.</t>
  </si>
  <si>
    <t>MODELING GUIDELINES &amp; COLOR CODING</t>
  </si>
  <si>
    <t>BLUE FONT on YELLOW FILL</t>
  </si>
  <si>
    <t>Hardcoded Inputs / Assumptions (Changeable)</t>
  </si>
  <si>
    <t>BLACK FONT on WHITE FILL</t>
  </si>
  <si>
    <t>Formulas &amp; Calculations (Do not modify manually)</t>
  </si>
  <si>
    <t>KEY ARCHITECTURAL FIXES (vs Traditional Models)</t>
  </si>
  <si>
    <t>1. No FCFE:</t>
  </si>
  <si>
    <t>HFCs require cash outflows to grow loans. Discounting negative FCFE yields false negative valuations. This model uses Residual Income.</t>
  </si>
  <si>
    <t>2. Debt is the Plug:</t>
  </si>
  <si>
    <t>You cannot hardcode D/E ratios. We project Loans &amp; Equity, and Borrowings solve the balance sheet automatically.</t>
  </si>
  <si>
    <t>3. Interest Expense:</t>
  </si>
  <si>
    <t>Calculated strictly on average Borrowings, NOT on Total AUM.</t>
  </si>
  <si>
    <t>REVERSE ENGINEERING YAHOO FINANCE ESTIMATES</t>
  </si>
  <si>
    <t>Goal: Deduce the required Loan Book Growth to hit Analyst NII Estimates</t>
  </si>
  <si>
    <t>FY26 (Actual)</t>
  </si>
  <si>
    <t>FY27 (Target)</t>
  </si>
  <si>
    <t>FY28 (Target)</t>
  </si>
  <si>
    <t>1. Top-Line Target (NII ₹ Cr)</t>
  </si>
  <si>
    <t>2. NII YoY Growth</t>
  </si>
  <si>
    <t>29.2% (vs FY25)</t>
  </si>
  <si>
    <t>14.17%</t>
  </si>
  <si>
    <t>THE REVERSE SOLVER LOGIC (How we got the growth rates)</t>
  </si>
  <si>
    <t>NII is an output: NII = (Loan Yield * Avg Loans) - (Cost of Debt * Avg Borrowings).</t>
  </si>
  <si>
    <t>By holding Yield (11.85%) and Cost of Debt (8.84%) constant, we back-calculated the required loan base.</t>
  </si>
  <si>
    <t>Implied Loan Growth</t>
  </si>
  <si>
    <t>Implied Loan Book (₹ Cr)</t>
  </si>
  <si>
    <t>To hit ₹882 Cr NII in FY27:</t>
  </si>
  <si>
    <t>Requires -&gt;</t>
  </si>
  <si>
    <t>To hit ₹1,007 Cr NII in FY28:</t>
  </si>
  <si>
    <t>CONCLUSION FOR PANEL:</t>
  </si>
  <si>
    <t>The analyst estimates are banking on Repco accelerating its loan growth from ~12.3% (FY26) to ~15.5% (FY28).</t>
  </si>
  <si>
    <t>Given Repco's low D/E ratio of 3.02x, they have ample room to borrow and fund this growth.</t>
  </si>
  <si>
    <t>REPCO HOME FINANCE - INTEGRATED P&amp;L AND BALANCE SHEET (₹ Crores)</t>
  </si>
  <si>
    <t>Note: Formulas are embedded. Change assumptions in yellow cells to see real-time flow.</t>
  </si>
  <si>
    <t>PARTICULARS</t>
  </si>
  <si>
    <t>FY25 (Act)</t>
  </si>
  <si>
    <t>FY26 (Act)</t>
  </si>
  <si>
    <t>FY27 (Proj)</t>
  </si>
  <si>
    <t>FY28 (Proj)</t>
  </si>
  <si>
    <t>INCOME STATEMENT</t>
  </si>
  <si>
    <t>Net Interest Income (NII)</t>
  </si>
  <si>
    <t>PAT Margin %</t>
  </si>
  <si>
    <t>Profit After Tax (PAT)</t>
  </si>
  <si>
    <t>Dividend Payout Ratio</t>
  </si>
  <si>
    <t>Dividends Paid</t>
  </si>
  <si>
    <t>Retained Earnings (Added to Equity)</t>
  </si>
  <si>
    <t>BALANCE SHEET</t>
  </si>
  <si>
    <t>LIABILITIES &amp; EQUITY</t>
  </si>
  <si>
    <t>Total Equity (Book Value)</t>
  </si>
  <si>
    <t>Other Liabilities (Assumed flat)</t>
  </si>
  <si>
    <t>Borrowings (Debt) - THE PLUG</t>
  </si>
  <si>
    <t>TOTAL LIABILITIES</t>
  </si>
  <si>
    <t>ASSETS</t>
  </si>
  <si>
    <t>Loan Book / Other Assets</t>
  </si>
  <si>
    <t>TOTAL ASSETS</t>
  </si>
  <si>
    <t>Loan Growth Assumption</t>
  </si>
  <si>
    <t>Balance Check (Assets - Liabs)</t>
  </si>
  <si>
    <t>Return on Equity (ROE) = PAT / Beginning-of-Year Book Value</t>
  </si>
  <si>
    <t>Book Value Roll-Forward Formula: Ending Equity (row 15) = Beginning Equity + Retained Earnings (row 11) = Beginning Equity + PAT - Dividends Paid.</t>
  </si>
  <si>
    <t>RESIDUAL INCOME (EXCESS RETURN) VALUATION</t>
  </si>
  <si>
    <t>1. COST OF EQUITY (CAPM) CALCULATION</t>
  </si>
  <si>
    <t>Assumption / Input</t>
  </si>
  <si>
    <t>Source</t>
  </si>
  <si>
    <t>Risk-Free Rate (Rf)</t>
  </si>
  <si>
    <t>10Y GOI Bond Yield (Aug 2026)</t>
  </si>
  <si>
    <t>Beta (Levered)</t>
  </si>
  <si>
    <t>Market Data / Defensive HFC</t>
  </si>
  <si>
    <t>Equity Risk Premium (ERP)</t>
  </si>
  <si>
    <t>Damodaran India Estimate</t>
  </si>
  <si>
    <t>Cost of Equity (Ke)</t>
  </si>
  <si>
    <t>Rf + Beta * ERP</t>
  </si>
  <si>
    <t>2. RESIDUAL INCOME CALCULATION (₹ Crores)</t>
  </si>
  <si>
    <t>FY26</t>
  </si>
  <si>
    <t>FY27</t>
  </si>
  <si>
    <t>FY28</t>
  </si>
  <si>
    <t>FY29 (Terminal Base)</t>
  </si>
  <si>
    <t>Starting Book Value (Total Equity)</t>
  </si>
  <si>
    <t>Projected PAT</t>
  </si>
  <si>
    <t>Equity Charge (Hurdle) = BV * Ke</t>
  </si>
  <si>
    <t>Residual Income (Excess Return) = PAT - Charge</t>
  </si>
  <si>
    <t>Discount Factor (1+Ke)^t</t>
  </si>
  <si>
    <t>Present Value of Residual Income</t>
  </si>
  <si>
    <t>3. TERMINAL VALUE (Gordon Growth Model)</t>
  </si>
  <si>
    <t>Terminal Growth Rate (g)</t>
  </si>
  <si>
    <t>Modest perpetual growth</t>
  </si>
  <si>
    <t>Terminal Value of RI = RI_FY29 / (Ke - g)</t>
  </si>
  <si>
    <t>Present Value of Terminal Value</t>
  </si>
  <si>
    <t>Discounted back 2 years</t>
  </si>
  <si>
    <t>4. INTRINSIC VALUE PER SHARE</t>
  </si>
  <si>
    <t>Sum of PV of Residual Incomes (FY27-FY28)</t>
  </si>
  <si>
    <t>Total PV of Value Created (Excess)</t>
  </si>
  <si>
    <t>Add: Starting Book Value (FY26 Anchor)</t>
  </si>
  <si>
    <t>Current accounting net worth</t>
  </si>
  <si>
    <t>Total Intrinsic Equity Value</t>
  </si>
  <si>
    <t>Total Outstanding Shares (Crores)</t>
  </si>
  <si>
    <t>INTRINSIC VALUE PER SHARE (₹)</t>
  </si>
  <si>
    <t>Current Market Price (CMP)</t>
  </si>
  <si>
    <t>UPSIDE / (DOWNSIDE)</t>
  </si>
  <si>
    <t>5. VALUE CREATION ANALYSIS (ROE vs Cost of Equity)</t>
  </si>
  <si>
    <t>Return on Equity (ROE) = PAT / Beginning Book Value</t>
  </si>
  <si>
    <t>Value Spread (ROE - Ke)</t>
  </si>
  <si>
    <t>Residual Income (₹ Cr)</t>
  </si>
  <si>
    <t>Interpretation: Positive spread confirms ROE exceeds shareholders' required return, i.e. the company is creating economic value, not just accounting profit.</t>
  </si>
  <si>
    <t>6. TERMINAL GROWTH RATE - SUSTAINABILITY CHECK (Why g = 5.0%)</t>
  </si>
  <si>
    <t>Retention Ratio (1 - Dividend Payout Ratio, FY28E)</t>
  </si>
  <si>
    <t>FY28E Return on Equity (ROE)</t>
  </si>
  <si>
    <t>Sustainable Growth Rate = Retention Ratio x ROE</t>
  </si>
  <si>
    <t>Terminal Growth Rate Assumption Used (g)</t>
  </si>
  <si>
    <t>Cross-Check vs Assumption</t>
  </si>
  <si>
    <t>Note: The formula-derived sustainable growth rate (Retention x ROE) is a ceiling, not a target - a company cannot grow faster than its retained capital and returns allow without raising fresh equity or leverage. The 5.0% assumption used here is set deliberately below this ceiling and below India long-run nominal GDP growth (~10-11%), reflecting an expectation that ROE and loan growth moderate over a multi-decade horizon as the loan book matures and competition intensifies. Source: RBI/MOSPI long-term GDP data; analyst judgement.</t>
  </si>
  <si>
    <t>TWO-VARIABLE SENSITIVITY: INTRINSIC VALUE PER SHARE (Rs.) vs Ke AND TERMINAL GROWTH (g)</t>
  </si>
  <si>
    <t>Terminal Growth/Ke</t>
  </si>
  <si>
    <t>SCENARIO SUMMARY: BEAR / BASE / BULL CASE</t>
  </si>
  <si>
    <t>Scenario</t>
  </si>
  <si>
    <t>Terminal Growth (g)</t>
  </si>
  <si>
    <t>Intrinsic Value/Share (Rs.)</t>
  </si>
  <si>
    <t>Upside/(Downside) vs CMP</t>
  </si>
  <si>
    <t>Bear Case</t>
  </si>
  <si>
    <t>Base Case</t>
  </si>
  <si>
    <t>Bull Case</t>
  </si>
  <si>
    <t>7. INVESTMENT CONCLUSION (Auto-Generated from Model)</t>
  </si>
  <si>
    <t>Reading the grid: Base Case (green cell) uses the CAPM-derived Ke of 11.46% and the 5.0% terminal growth assumption justified on Sheet 4. Move along a row to test Ke sensitivity at a fixed growth rate; move down a column to test growth sensitivity at a fixed Ke. Every cell recalculates live off the same underlying PAT and Book Value projections - only Ke and g change.</t>
  </si>
  <si>
    <t>HOW THIS MODEL WORKS - STEP-BY-STEP FORMULA GUIDE</t>
  </si>
  <si>
    <t>Use this sheet as a reusable template for building a Residual Income (Excess Return) valuation for any bank, NBFC, or HFC.</t>
  </si>
  <si>
    <t>#</t>
  </si>
  <si>
    <t>Sheet</t>
  </si>
  <si>
    <t>Line Item</t>
  </si>
  <si>
    <t>Excel Formula (as used in this model)</t>
  </si>
  <si>
    <t>Why It Matters</t>
  </si>
  <si>
    <t>Sheet 2</t>
  </si>
  <si>
    <t>Reverse-engineer growth</t>
  </si>
  <si>
    <t>Formula: solve loan growth so that (yield x avg loans) - (cost of debt x avg borrowings) = target nii</t>
  </si>
  <si>
    <t>Never accept an analyst NII/EPS estimate at face value - back it into an implied balance-sheet growth rate and sanity-check it.</t>
  </si>
  <si>
    <t>Sheet 3</t>
  </si>
  <si>
    <t>PAT</t>
  </si>
  <si>
    <t>Formula: nii x pat margin %</t>
  </si>
  <si>
    <t>Keeps the P&amp;L driven by two clearly stated assumptions instead of a hardcoded profit number.</t>
  </si>
  <si>
    <t>Retained Earnings</t>
  </si>
  <si>
    <t>Formula: pat - dividends paid, where dividends = pat x payout ratio</t>
  </si>
  <si>
    <t>Explicitly separates the portion of profit that re-capitalises the business from the portion paid out.</t>
  </si>
  <si>
    <t>Ending Book Value (roll-forward)</t>
  </si>
  <si>
    <t>Formula: beginning book value + retained earnings</t>
  </si>
  <si>
    <t>This is the single most-asked question in a valuation defence - always be able to show the BV bridge.</t>
  </si>
  <si>
    <t>Borrowings ("the plug")</t>
  </si>
  <si>
    <t>Formula: total assets - equity - other liabilities</t>
  </si>
  <si>
    <t>For a lender, debt is a balancing item, not an assumption - hardcoding a D/E ratio double-counts growth.</t>
  </si>
  <si>
    <t>Return on Equity (ROE)</t>
  </si>
  <si>
    <t>Formula: pat / beginning-of-year book value</t>
  </si>
  <si>
    <t>ROE, not PAT growth, is what determines whether a lender is creating or destroying shareholder value.</t>
  </si>
  <si>
    <t>Sheet 4</t>
  </si>
  <si>
    <t>Cost of Equity (Ke) - CAPM</t>
  </si>
  <si>
    <t>Formula: risk-free rate + beta x equity risk premium</t>
  </si>
  <si>
    <t>Standard CAPM. Source each input (G-Sec yield, sector beta, Damodaran ERP) - never guess Ke.</t>
  </si>
  <si>
    <t>Equity Charge (hurdle)</t>
  </si>
  <si>
    <t>Formula: beginning book value x ke</t>
  </si>
  <si>
    <t>The minimum profit shareholders require for the capital tied up in the business - the benchmark PAT must clear.</t>
  </si>
  <si>
    <t>Residual Income (Excess Return)</t>
  </si>
  <si>
    <t>Formula: projected pat - equity charge</t>
  </si>
  <si>
    <t>Positive RI = value creation. This is the core insight the whole model is built to test.</t>
  </si>
  <si>
    <t>PV of Residual Income</t>
  </si>
  <si>
    <t>Formula: residual income / (1+ke)^t</t>
  </si>
  <si>
    <t>Discounts each year of excess return back to today at the cost of equity.</t>
  </si>
  <si>
    <t>Terminal Value of RI (Gordon Growth)</t>
  </si>
  <si>
    <t>Formula: ri in terminal year / (ke - g)</t>
  </si>
  <si>
    <t>Capitalises all excess returns beyond the explicit forecast into a single perpetuity value.</t>
  </si>
  <si>
    <t>PV of Terminal Value</t>
  </si>
  <si>
    <t>Formula: terminal value / (1+ke)^n</t>
  </si>
  <si>
    <t>Brings the terminal value back to present-day rupees using the same discount factor as the final forecast year.</t>
  </si>
  <si>
    <t>Intrinsic Equity Value</t>
  </si>
  <si>
    <t>Formula: sum of PV(ri) + PV(terminal value) + current book value</t>
  </si>
  <si>
    <t>Book Value is the anchor; the two PV terms represent value created ABOVE the current accounting net worth.</t>
  </si>
  <si>
    <t>Intrinsic Value per Share</t>
  </si>
  <si>
    <t>Formula: intrinsic equity value / shares outstanding</t>
  </si>
  <si>
    <t>The final headline output - always pair with CMP and an explicit upside/downside %.</t>
  </si>
  <si>
    <t>Formula: roe - cost of equity</t>
  </si>
  <si>
    <t>The single-number test of whether the business is a "buy the ROE" story or not - must be positive for RI to be positive.</t>
  </si>
  <si>
    <t>Sustainable Growth cross-check</t>
  </si>
  <si>
    <t>Formula: retention ratio x roe, where retention = 1 - payout ratio</t>
  </si>
  <si>
    <t>Never pick a terminal growth rate (g) out of thin air - derive a ceiling from retained capital and ROE, then justify picking below it.</t>
  </si>
  <si>
    <t>Sheet 5</t>
  </si>
  <si>
    <t>Two-variable sensitivity grid</t>
  </si>
  <si>
    <t>Full valuation formula rebuilt in every cell, with Ke varying by column and g varying by row</t>
  </si>
  <si>
    <t>A single-point valuation is not defensible in a panel. Always show how the answer moves with the two most subjective inputs.</t>
  </si>
  <si>
    <t>Bear / Base / Bull scenarios</t>
  </si>
  <si>
    <t>Pulled directly from the corners and centre of the sensitivity grid</t>
  </si>
  <si>
    <t>Converts a spreadsheet of numbers into three headline scenarios a non-technical panel member can follow.</t>
  </si>
  <si>
    <t>GOLDEN RULES FOR BUILDING YOUR OWN MODEL</t>
  </si>
  <si>
    <t>-  Never hardcode a result - every calculated cell should be a formula that recalculates if an assumption changes.</t>
  </si>
  <si>
    <t>-  Color-code every hardcoded input in blue font on yellow fill; leave every formula in plain black - a reviewer should know in one glance what is an assumption vs. a calculation.</t>
  </si>
  <si>
    <t>-  For lenders (banks/NBFCs/HFCs), value equity with Residual Income or Excess Return, not FCFE - loan growth consumes cash, which makes FCFE misleadingly negative.</t>
  </si>
  <si>
    <t>-  Always tie your Balance Sheet out explicitly (Assets = Liabilities + Equity) with a visible "Balance Check" row that must equal zero.</t>
  </si>
  <si>
    <t>-  Test ROE vs. Cost of Equity, not just absolute profit growth - a growing but sub-Ke ROE business destroys value even while PAT rises.</t>
  </si>
  <si>
    <t>-  Never present a single-point valuation - always show a Ke x g sensitivity grid and a Bear/Base/Bull range before drawing a conclusion.</t>
  </si>
  <si>
    <t>-  Justify your terminal growth rate with a Sustainable Growth cross-check (Retention Ratio x ROE) and a reference to long-run GDP growth - never pick g by feel.</t>
  </si>
  <si>
    <t>-  State your final conclusion as a range and a probability-weighted view ("undervalued under base-case assumptions"), not a single confident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</si>
</sst>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s.&quot;#,##0.00"/>
    <numFmt numFmtId="165" formatCode="0.0%"/>
    <numFmt numFmtId="166" formatCode="&quot;Rs.&quot;#,##0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000000"/>
      <name val="Arial"/>
      <family val="2"/>
      <charset val="1"/>
    </font>
    <font>
      <i/>
      <sz val="10"/>
      <color rgb="FF000000"/>
      <name val="Arial"/>
      <family val="2"/>
    </font>
    <font>
      <b/>
      <sz val="11"/>
      <color theme="0"/>
      <name val="Calibri"/>
      <family val="2"/>
      <charset val="1"/>
    </font>
    <font>
      <i/>
      <sz val="11"/>
      <color rgb="FF000000"/>
      <name val="Arial"/>
      <family val="2"/>
    </font>
    <font>
      <b/>
      <sz val="16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97D"/>
      </patternFill>
    </fill>
    <fill>
      <patternFill patternType="solid">
        <fgColor rgb="FFFFFFCC"/>
        <bgColor rgb="FFFFFFFF"/>
      </patternFill>
    </fill>
    <fill>
      <patternFill patternType="solid">
        <fgColor rgb="FF2F75B5"/>
        <bgColor rgb="FF0066CC"/>
      </patternFill>
    </fill>
    <fill>
      <patternFill patternType="solid">
        <fgColor rgb="FFD9E1F2"/>
        <bgColor rgb="FFEFEFEF"/>
      </patternFill>
    </fill>
    <fill>
      <patternFill patternType="solid">
        <fgColor theme="3"/>
        <bgColor rgb="FF1F4E78"/>
      </patternFill>
    </fill>
    <fill>
      <patternFill patternType="solid">
        <fgColor theme="9" tint="0.39988402966399123"/>
        <bgColor rgb="FFC0C0C0"/>
      </patternFill>
    </fill>
    <fill>
      <patternFill patternType="solid">
        <fgColor rgb="FFC6EFCE"/>
        <bgColor rgb="FFD9E1F2"/>
      </patternFill>
    </fill>
    <fill>
      <patternFill patternType="solid">
        <fgColor rgb="FFEFEFEF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0" fontId="5" fillId="0" borderId="0" xfId="0" applyFont="1"/>
    <xf numFmtId="166" fontId="4" fillId="0" borderId="0" xfId="0" applyNumberFormat="1" applyFont="1"/>
    <xf numFmtId="10" fontId="4" fillId="0" borderId="0" xfId="0" applyNumberFormat="1" applyFont="1"/>
    <xf numFmtId="0" fontId="6" fillId="3" borderId="0" xfId="0" applyFont="1" applyFill="1"/>
    <xf numFmtId="0" fontId="7" fillId="0" borderId="0" xfId="0" applyFont="1"/>
    <xf numFmtId="0" fontId="8" fillId="4" borderId="0" xfId="0" applyFont="1" applyFill="1"/>
    <xf numFmtId="0" fontId="9" fillId="5" borderId="0" xfId="0" applyFont="1" applyFill="1"/>
    <xf numFmtId="10" fontId="0" fillId="0" borderId="0" xfId="0" applyNumberFormat="1"/>
    <xf numFmtId="4" fontId="0" fillId="0" borderId="0" xfId="0" applyNumberFormat="1"/>
    <xf numFmtId="4" fontId="6" fillId="3" borderId="0" xfId="0" applyNumberFormat="1" applyFont="1" applyFill="1"/>
    <xf numFmtId="10" fontId="6" fillId="3" borderId="0" xfId="0" applyNumberFormat="1" applyFont="1" applyFill="1"/>
    <xf numFmtId="4" fontId="7" fillId="0" borderId="0" xfId="0" applyNumberFormat="1" applyFont="1"/>
    <xf numFmtId="0" fontId="10" fillId="0" borderId="0" xfId="0" applyFont="1"/>
    <xf numFmtId="10" fontId="7" fillId="0" borderId="0" xfId="0" applyNumberFormat="1" applyFont="1"/>
    <xf numFmtId="0" fontId="5" fillId="5" borderId="0" xfId="0" applyFont="1" applyFill="1"/>
    <xf numFmtId="4" fontId="4" fillId="0" borderId="0" xfId="0" applyNumberFormat="1" applyFont="1"/>
    <xf numFmtId="0" fontId="11" fillId="6" borderId="1" xfId="0" applyFont="1" applyFill="1" applyBorder="1"/>
    <xf numFmtId="10" fontId="5" fillId="0" borderId="1" xfId="0" applyNumberFormat="1" applyFont="1" applyBorder="1"/>
    <xf numFmtId="10" fontId="5" fillId="7" borderId="1" xfId="0" applyNumberFormat="1" applyFont="1" applyFill="1" applyBorder="1"/>
    <xf numFmtId="166" fontId="4" fillId="0" borderId="1" xfId="0" applyNumberFormat="1" applyFont="1" applyBorder="1"/>
    <xf numFmtId="166" fontId="5" fillId="8" borderId="1" xfId="0" applyNumberFormat="1" applyFont="1" applyFill="1" applyBorder="1"/>
    <xf numFmtId="0" fontId="0" fillId="5" borderId="0" xfId="0" applyFill="1"/>
    <xf numFmtId="0" fontId="5" fillId="9" borderId="1" xfId="0" applyFont="1" applyFill="1" applyBorder="1"/>
    <xf numFmtId="0" fontId="4" fillId="0" borderId="1" xfId="0" applyFont="1" applyBorder="1"/>
    <xf numFmtId="10" fontId="4" fillId="0" borderId="1" xfId="0" applyNumberFormat="1" applyFont="1" applyBorder="1"/>
    <xf numFmtId="165" fontId="4" fillId="0" borderId="1" xfId="0" applyNumberFormat="1" applyFont="1" applyBorder="1"/>
    <xf numFmtId="0" fontId="5" fillId="0" borderId="1" xfId="0" applyFont="1" applyBorder="1"/>
    <xf numFmtId="0" fontId="13" fillId="2" borderId="0" xfId="0" applyFont="1" applyFill="1"/>
    <xf numFmtId="0" fontId="0" fillId="2" borderId="0" xfId="0" applyFill="1"/>
    <xf numFmtId="0" fontId="12" fillId="0" borderId="0" xfId="0" applyFont="1"/>
    <xf numFmtId="0" fontId="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FEFE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2F75B5"/>
      <rgbColor rgb="FF33CCCC"/>
      <rgbColor rgb="FF99CC00"/>
      <rgbColor rgb="FFFFCC00"/>
      <rgbColor rgb="FFFF9900"/>
      <rgbColor rgb="FFFF6600"/>
      <rgbColor rgb="FF666699"/>
      <rgbColor rgb="FF999999"/>
      <rgbColor rgb="FF1F4E78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6" zoomScaleNormal="100" workbookViewId="0"/>
  </sheetViews>
  <sheetFormatPr defaultColWidth="8.6640625" defaultRowHeight="14.4" x14ac:dyDescent="0.3"/>
  <cols>
    <col min="1" max="1" width="50" customWidth="1"/>
    <col min="2" max="2" width="60" customWidth="1"/>
  </cols>
  <sheetData>
    <row r="1" spans="1:2" ht="21" customHeight="1" x14ac:dyDescent="0.4">
      <c r="A1" s="3" t="s">
        <v>0</v>
      </c>
    </row>
    <row r="2" spans="1:2" ht="21" customHeight="1" x14ac:dyDescent="0.4">
      <c r="A2" s="4" t="s">
        <v>1</v>
      </c>
    </row>
    <row r="3" spans="1:2" ht="14.25" customHeight="1" x14ac:dyDescent="0.3">
      <c r="A3" s="5"/>
    </row>
    <row r="4" spans="1:2" ht="14.25" customHeight="1" x14ac:dyDescent="0.3">
      <c r="A4" s="5" t="s">
        <v>2</v>
      </c>
      <c r="B4" s="6" t="s">
        <v>3</v>
      </c>
    </row>
    <row r="5" spans="1:2" ht="14.25" customHeight="1" x14ac:dyDescent="0.3">
      <c r="A5" s="5" t="s">
        <v>4</v>
      </c>
      <c r="B5" s="6" t="s">
        <v>5</v>
      </c>
    </row>
    <row r="6" spans="1:2" ht="14.25" customHeight="1" x14ac:dyDescent="0.3">
      <c r="A6" s="5" t="s">
        <v>6</v>
      </c>
      <c r="B6" s="6" t="s">
        <v>7</v>
      </c>
    </row>
    <row r="7" spans="1:2" ht="14.25" customHeight="1" x14ac:dyDescent="0.3">
      <c r="A7" s="5" t="s">
        <v>8</v>
      </c>
      <c r="B7" s="6" t="s">
        <v>9</v>
      </c>
    </row>
    <row r="8" spans="1:2" ht="14.25" customHeight="1" x14ac:dyDescent="0.3">
      <c r="A8" s="5"/>
    </row>
    <row r="9" spans="1:2" ht="14.25" customHeight="1" x14ac:dyDescent="0.3">
      <c r="A9" s="5" t="s">
        <v>10</v>
      </c>
    </row>
    <row r="10" spans="1:2" ht="14.25" customHeight="1" x14ac:dyDescent="0.3">
      <c r="A10" s="5" t="s">
        <v>11</v>
      </c>
      <c r="B10" s="6" t="s">
        <v>12</v>
      </c>
    </row>
    <row r="11" spans="1:2" ht="14.25" customHeight="1" x14ac:dyDescent="0.3">
      <c r="A11" s="5" t="s">
        <v>13</v>
      </c>
      <c r="B11" s="6" t="s">
        <v>14</v>
      </c>
    </row>
    <row r="12" spans="1:2" ht="14.25" customHeight="1" x14ac:dyDescent="0.3">
      <c r="A12" s="5" t="s">
        <v>15</v>
      </c>
      <c r="B12" s="6">
        <v>362</v>
      </c>
    </row>
    <row r="13" spans="1:2" ht="14.25" customHeight="1" x14ac:dyDescent="0.3">
      <c r="A13" s="5" t="s">
        <v>16</v>
      </c>
      <c r="B13" s="7">
        <f>'4. Residual Income Valuation'!B28</f>
        <v>980.54588764631353</v>
      </c>
    </row>
    <row r="14" spans="1:2" ht="14.25" customHeight="1" x14ac:dyDescent="0.3">
      <c r="A14" s="5" t="s">
        <v>17</v>
      </c>
      <c r="B14" s="8">
        <f>'4. Residual Income Valuation'!B30</f>
        <v>1.7086902973655069</v>
      </c>
    </row>
    <row r="15" spans="1:2" ht="14.25" customHeight="1" x14ac:dyDescent="0.3">
      <c r="A15" s="5" t="s">
        <v>18</v>
      </c>
      <c r="B15" s="9" t="s">
        <v>19</v>
      </c>
    </row>
    <row r="16" spans="1:2" ht="14.25" customHeight="1" x14ac:dyDescent="0.3"/>
    <row r="17" spans="1:2" ht="14.25" customHeight="1" x14ac:dyDescent="0.3">
      <c r="A17" s="10" t="s">
        <v>20</v>
      </c>
    </row>
    <row r="18" spans="1:2" ht="14.25" customHeight="1" x14ac:dyDescent="0.3">
      <c r="A18" s="10" t="s">
        <v>21</v>
      </c>
      <c r="B18" s="11">
        <f>'5.Sensitivity analysis'!I6</f>
        <v>750.13487498395148</v>
      </c>
    </row>
    <row r="19" spans="1:2" ht="14.25" customHeight="1" x14ac:dyDescent="0.3">
      <c r="A19" s="10" t="s">
        <v>22</v>
      </c>
      <c r="B19" s="11">
        <f>'5.Sensitivity analysis'!G8</f>
        <v>980.54588764631353</v>
      </c>
    </row>
    <row r="20" spans="1:2" ht="14.25" customHeight="1" x14ac:dyDescent="0.3">
      <c r="A20" s="10" t="s">
        <v>23</v>
      </c>
      <c r="B20" s="11">
        <f>'5.Sensitivity analysis'!E10</f>
        <v>2579.302164947323</v>
      </c>
    </row>
    <row r="21" spans="1:2" ht="14.25" customHeight="1" x14ac:dyDescent="0.3">
      <c r="A21" s="10" t="s">
        <v>24</v>
      </c>
      <c r="B21" s="12">
        <f>'4. Residual Income Valuation'!C36</f>
        <v>2.7910123519860899E-2</v>
      </c>
    </row>
    <row r="22" spans="1:2" ht="14.25" customHeight="1" x14ac:dyDescent="0.3">
      <c r="A22" s="10" t="s">
        <v>25</v>
      </c>
      <c r="B22" s="9" t="s">
        <v>26</v>
      </c>
    </row>
    <row r="23" spans="1:2" ht="14.25" customHeight="1" x14ac:dyDescent="0.3">
      <c r="A23" s="5"/>
    </row>
    <row r="24" spans="1:2" ht="14.25" customHeight="1" x14ac:dyDescent="0.3">
      <c r="A24" s="5" t="s">
        <v>27</v>
      </c>
    </row>
    <row r="25" spans="1:2" ht="14.25" customHeight="1" x14ac:dyDescent="0.3">
      <c r="A25" s="13" t="s">
        <v>28</v>
      </c>
      <c r="B25" s="6" t="s">
        <v>29</v>
      </c>
    </row>
    <row r="26" spans="1:2" ht="14.25" customHeight="1" x14ac:dyDescent="0.3">
      <c r="A26" s="14" t="s">
        <v>30</v>
      </c>
      <c r="B26" s="6" t="s">
        <v>31</v>
      </c>
    </row>
    <row r="27" spans="1:2" ht="14.25" customHeight="1" x14ac:dyDescent="0.3">
      <c r="A27" s="5"/>
    </row>
    <row r="28" spans="1:2" ht="14.25" customHeight="1" x14ac:dyDescent="0.3">
      <c r="A28" s="5" t="s">
        <v>32</v>
      </c>
    </row>
    <row r="29" spans="1:2" ht="14.25" customHeight="1" x14ac:dyDescent="0.3">
      <c r="A29" s="5" t="s">
        <v>33</v>
      </c>
      <c r="B29" s="6" t="s">
        <v>34</v>
      </c>
    </row>
    <row r="30" spans="1:2" ht="14.25" customHeight="1" x14ac:dyDescent="0.3">
      <c r="A30" s="5" t="s">
        <v>35</v>
      </c>
      <c r="B30" s="6" t="s">
        <v>36</v>
      </c>
    </row>
    <row r="31" spans="1:2" ht="14.25" customHeight="1" x14ac:dyDescent="0.3">
      <c r="A31" s="5" t="s">
        <v>37</v>
      </c>
      <c r="B31" s="6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>
      <selection activeCell="C27" sqref="C27"/>
    </sheetView>
  </sheetViews>
  <sheetFormatPr defaultColWidth="8.6640625" defaultRowHeight="14.4" x14ac:dyDescent="0.3"/>
  <cols>
    <col min="1" max="1" width="60" customWidth="1"/>
    <col min="2" max="2" width="15" customWidth="1"/>
    <col min="3" max="3" width="21" customWidth="1"/>
    <col min="4" max="4" width="26" customWidth="1"/>
  </cols>
  <sheetData>
    <row r="1" spans="1:4" ht="15" customHeight="1" x14ac:dyDescent="0.3">
      <c r="A1" s="15" t="s">
        <v>39</v>
      </c>
    </row>
    <row r="2" spans="1:4" ht="14.25" customHeight="1" x14ac:dyDescent="0.3">
      <c r="A2" t="s">
        <v>40</v>
      </c>
    </row>
    <row r="3" spans="1:4" ht="14.25" customHeight="1" x14ac:dyDescent="0.3">
      <c r="A3" s="16"/>
      <c r="B3" s="16" t="s">
        <v>41</v>
      </c>
      <c r="C3" s="16" t="s">
        <v>42</v>
      </c>
      <c r="D3" s="16" t="s">
        <v>43</v>
      </c>
    </row>
    <row r="4" spans="1:4" ht="14.25" customHeight="1" x14ac:dyDescent="0.3">
      <c r="A4" t="s">
        <v>44</v>
      </c>
      <c r="B4">
        <v>682.33</v>
      </c>
      <c r="C4">
        <v>882</v>
      </c>
      <c r="D4">
        <v>1007</v>
      </c>
    </row>
    <row r="5" spans="1:4" ht="14.25" customHeight="1" x14ac:dyDescent="0.3">
      <c r="A5" t="s">
        <v>45</v>
      </c>
      <c r="C5" t="s">
        <v>46</v>
      </c>
      <c r="D5" t="s">
        <v>47</v>
      </c>
    </row>
    <row r="7" spans="1:4" ht="14.25" customHeight="1" x14ac:dyDescent="0.3">
      <c r="A7" t="s">
        <v>48</v>
      </c>
    </row>
    <row r="8" spans="1:4" ht="14.25" customHeight="1" x14ac:dyDescent="0.3">
      <c r="A8" t="s">
        <v>49</v>
      </c>
    </row>
    <row r="9" spans="1:4" ht="14.25" customHeight="1" x14ac:dyDescent="0.3">
      <c r="A9" t="s">
        <v>50</v>
      </c>
    </row>
    <row r="10" spans="1:4" ht="14.25" customHeight="1" x14ac:dyDescent="0.3">
      <c r="A10" s="16"/>
      <c r="B10" s="16"/>
      <c r="C10" s="16" t="s">
        <v>51</v>
      </c>
      <c r="D10" s="16" t="s">
        <v>52</v>
      </c>
    </row>
    <row r="11" spans="1:4" ht="14.25" customHeight="1" x14ac:dyDescent="0.3">
      <c r="A11" t="s">
        <v>53</v>
      </c>
      <c r="B11" t="s">
        <v>54</v>
      </c>
      <c r="C11" s="17">
        <v>0.1399</v>
      </c>
      <c r="D11">
        <v>18320</v>
      </c>
    </row>
    <row r="12" spans="1:4" ht="14.25" customHeight="1" x14ac:dyDescent="0.3">
      <c r="A12" t="s">
        <v>55</v>
      </c>
      <c r="B12" t="s">
        <v>54</v>
      </c>
      <c r="C12" s="17">
        <v>0.15490000000000001</v>
      </c>
      <c r="D12">
        <v>21157</v>
      </c>
    </row>
    <row r="14" spans="1:4" ht="14.25" customHeight="1" x14ac:dyDescent="0.3">
      <c r="A14" t="s">
        <v>56</v>
      </c>
    </row>
    <row r="15" spans="1:4" ht="14.25" customHeight="1" x14ac:dyDescent="0.3">
      <c r="A15" t="s">
        <v>57</v>
      </c>
    </row>
    <row r="16" spans="1:4" ht="14.25" customHeight="1" x14ac:dyDescent="0.3">
      <c r="A16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8" sqref="D8"/>
    </sheetView>
  </sheetViews>
  <sheetFormatPr defaultColWidth="8.6640625" defaultRowHeight="14.4" x14ac:dyDescent="0.3"/>
  <cols>
    <col min="1" max="1" width="60" customWidth="1"/>
    <col min="2" max="5" width="15" customWidth="1"/>
  </cols>
  <sheetData>
    <row r="1" spans="1:5" ht="21" customHeight="1" x14ac:dyDescent="0.4">
      <c r="A1" s="3" t="s">
        <v>59</v>
      </c>
      <c r="B1" s="3"/>
      <c r="C1" s="3"/>
      <c r="D1" s="3"/>
      <c r="E1" s="3"/>
    </row>
    <row r="2" spans="1:5" ht="14.25" customHeight="1" x14ac:dyDescent="0.3">
      <c r="A2" t="s">
        <v>60</v>
      </c>
    </row>
    <row r="4" spans="1:5" ht="14.25" customHeight="1" x14ac:dyDescent="0.3">
      <c r="A4" s="16" t="s">
        <v>61</v>
      </c>
      <c r="B4" s="16" t="s">
        <v>62</v>
      </c>
      <c r="C4" s="16" t="s">
        <v>63</v>
      </c>
      <c r="D4" s="16" t="s">
        <v>64</v>
      </c>
      <c r="E4" s="16" t="s">
        <v>65</v>
      </c>
    </row>
    <row r="5" spans="1:5" ht="14.25" customHeight="1" x14ac:dyDescent="0.3">
      <c r="A5" s="16" t="s">
        <v>66</v>
      </c>
    </row>
    <row r="6" spans="1:5" ht="14.25" customHeight="1" x14ac:dyDescent="0.3">
      <c r="A6" t="s">
        <v>67</v>
      </c>
      <c r="B6" s="18">
        <v>682.33</v>
      </c>
      <c r="C6" s="18">
        <v>814</v>
      </c>
      <c r="D6" s="19">
        <v>882</v>
      </c>
      <c r="E6" s="19">
        <v>1007</v>
      </c>
    </row>
    <row r="7" spans="1:5" ht="14.25" customHeight="1" x14ac:dyDescent="0.3">
      <c r="A7" t="s">
        <v>68</v>
      </c>
      <c r="B7" s="17">
        <v>0.64400000000000002</v>
      </c>
      <c r="C7" s="17">
        <v>0.64400000000000002</v>
      </c>
      <c r="D7" s="20">
        <v>0.64400000000000002</v>
      </c>
      <c r="E7" s="20">
        <v>0.64400000000000002</v>
      </c>
    </row>
    <row r="8" spans="1:5" ht="14.25" customHeight="1" x14ac:dyDescent="0.3">
      <c r="A8" t="s">
        <v>69</v>
      </c>
      <c r="B8" s="21">
        <f>B6*B7</f>
        <v>439.42052000000001</v>
      </c>
      <c r="C8" s="21">
        <f>C6*C7</f>
        <v>524.21600000000001</v>
      </c>
      <c r="D8" s="21">
        <f>D6*D7</f>
        <v>568.00800000000004</v>
      </c>
      <c r="E8" s="21">
        <f>E6*E7</f>
        <v>648.50800000000004</v>
      </c>
    </row>
    <row r="9" spans="1:5" ht="14.25" customHeight="1" x14ac:dyDescent="0.3">
      <c r="A9" t="s">
        <v>70</v>
      </c>
      <c r="B9" s="17">
        <v>0.1</v>
      </c>
      <c r="C9" s="17">
        <v>0.1</v>
      </c>
      <c r="D9" s="20">
        <v>0.1</v>
      </c>
      <c r="E9" s="20">
        <v>0.1</v>
      </c>
    </row>
    <row r="10" spans="1:5" ht="14.25" customHeight="1" x14ac:dyDescent="0.3">
      <c r="A10" t="s">
        <v>71</v>
      </c>
      <c r="B10" s="21">
        <f>B8*B9</f>
        <v>43.942052000000004</v>
      </c>
      <c r="C10" s="21">
        <f>C8*C9</f>
        <v>52.421600000000005</v>
      </c>
      <c r="D10" s="21">
        <f>D8*D9</f>
        <v>56.80080000000001</v>
      </c>
      <c r="E10" s="21">
        <f>E8*E9</f>
        <v>64.850800000000007</v>
      </c>
    </row>
    <row r="11" spans="1:5" ht="14.25" customHeight="1" x14ac:dyDescent="0.3">
      <c r="A11" t="s">
        <v>72</v>
      </c>
      <c r="B11" s="21">
        <f>B8-B10</f>
        <v>395.47846800000002</v>
      </c>
      <c r="C11" s="21">
        <f>C8-C10</f>
        <v>471.7944</v>
      </c>
      <c r="D11" s="21">
        <f>D8-D10</f>
        <v>511.20720000000006</v>
      </c>
      <c r="E11" s="21">
        <f>E8-E10</f>
        <v>583.65719999999999</v>
      </c>
    </row>
    <row r="13" spans="1:5" ht="14.25" customHeight="1" x14ac:dyDescent="0.3">
      <c r="A13" s="16" t="s">
        <v>73</v>
      </c>
    </row>
    <row r="14" spans="1:5" ht="14.25" customHeight="1" x14ac:dyDescent="0.3">
      <c r="A14" s="16" t="s">
        <v>74</v>
      </c>
    </row>
    <row r="15" spans="1:5" ht="14.25" customHeight="1" x14ac:dyDescent="0.3">
      <c r="A15" t="s">
        <v>75</v>
      </c>
      <c r="B15" s="18">
        <v>3427</v>
      </c>
      <c r="C15" s="18">
        <v>4041</v>
      </c>
      <c r="D15" s="21">
        <f>C15+D11</f>
        <v>4552.2071999999998</v>
      </c>
      <c r="E15" s="21">
        <f>D15+E11</f>
        <v>5135.8643999999995</v>
      </c>
    </row>
    <row r="16" spans="1:5" ht="14.25" customHeight="1" x14ac:dyDescent="0.3">
      <c r="A16" t="s">
        <v>76</v>
      </c>
      <c r="B16" s="18">
        <v>150</v>
      </c>
      <c r="C16" s="18">
        <v>198</v>
      </c>
      <c r="D16" s="19">
        <v>198</v>
      </c>
      <c r="E16" s="19">
        <v>198</v>
      </c>
    </row>
    <row r="17" spans="1:5" ht="14.25" customHeight="1" x14ac:dyDescent="0.3">
      <c r="A17" t="s">
        <v>77</v>
      </c>
      <c r="B17" s="18">
        <v>11139</v>
      </c>
      <c r="C17" s="18">
        <v>12206</v>
      </c>
      <c r="D17" s="21">
        <f>D21-D15-D16</f>
        <v>13570.265599999999</v>
      </c>
      <c r="E17" s="21">
        <f>E21-E15-E16</f>
        <v>15824.449636720001</v>
      </c>
    </row>
    <row r="18" spans="1:5" ht="14.25" customHeight="1" x14ac:dyDescent="0.3">
      <c r="A18" t="s">
        <v>78</v>
      </c>
      <c r="B18" s="21">
        <f>SUM(B15:B17)</f>
        <v>14716</v>
      </c>
      <c r="C18" s="21">
        <f>SUM(C15:C17)</f>
        <v>16445</v>
      </c>
      <c r="D18" s="21">
        <f>SUM(D15:D17)</f>
        <v>18320.4728</v>
      </c>
      <c r="E18" s="21">
        <f>SUM(E15:E17)</f>
        <v>21158.314036719999</v>
      </c>
    </row>
    <row r="20" spans="1:5" ht="14.25" customHeight="1" x14ac:dyDescent="0.3">
      <c r="A20" s="16" t="s">
        <v>79</v>
      </c>
    </row>
    <row r="21" spans="1:5" ht="14.25" customHeight="1" x14ac:dyDescent="0.3">
      <c r="A21" t="s">
        <v>80</v>
      </c>
      <c r="B21" s="18">
        <v>14310</v>
      </c>
      <c r="C21" s="18">
        <v>16072</v>
      </c>
      <c r="D21" s="21">
        <f>C21*(1+D23)</f>
        <v>18320.4728</v>
      </c>
      <c r="E21" s="21">
        <f>D21*(1+E23)</f>
        <v>21158.314036719999</v>
      </c>
    </row>
    <row r="22" spans="1:5" ht="14.25" customHeight="1" x14ac:dyDescent="0.3">
      <c r="A22" t="s">
        <v>81</v>
      </c>
      <c r="B22" s="21">
        <f>B21</f>
        <v>14310</v>
      </c>
      <c r="C22" s="21">
        <f>C21</f>
        <v>16072</v>
      </c>
      <c r="D22" s="21">
        <f>D21</f>
        <v>18320.4728</v>
      </c>
      <c r="E22" s="21">
        <f>E21</f>
        <v>21158.314036719999</v>
      </c>
    </row>
    <row r="23" spans="1:5" ht="14.25" customHeight="1" x14ac:dyDescent="0.3">
      <c r="A23" t="s">
        <v>82</v>
      </c>
      <c r="B23" s="17">
        <v>5.8900000000000001E-2</v>
      </c>
      <c r="C23" s="17">
        <v>0.1231</v>
      </c>
      <c r="D23" s="20">
        <v>0.1399</v>
      </c>
      <c r="E23" s="20">
        <v>0.15490000000000001</v>
      </c>
    </row>
    <row r="24" spans="1:5" ht="14.25" customHeight="1" x14ac:dyDescent="0.3">
      <c r="A24" t="s">
        <v>83</v>
      </c>
      <c r="B24" s="21">
        <f>B22-B18</f>
        <v>-406</v>
      </c>
      <c r="C24" s="21">
        <f>C22-C18</f>
        <v>-373</v>
      </c>
      <c r="D24" s="21">
        <f>D22-D18</f>
        <v>0</v>
      </c>
      <c r="E24" s="21">
        <f>E22-E18</f>
        <v>0</v>
      </c>
    </row>
    <row r="26" spans="1:5" ht="14.25" customHeight="1" x14ac:dyDescent="0.3">
      <c r="A26" s="9" t="s">
        <v>84</v>
      </c>
      <c r="C26" s="12">
        <f>C8/B15</f>
        <v>0.15296644295302014</v>
      </c>
      <c r="D26" s="12">
        <f>D8/C15</f>
        <v>0.14056124721603563</v>
      </c>
      <c r="E26" s="12">
        <f>E8/D15</f>
        <v>0.1424601235198609</v>
      </c>
    </row>
    <row r="27" spans="1:5" ht="27.75" customHeight="1" x14ac:dyDescent="0.3">
      <c r="A27" s="2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zoomScale="84" zoomScaleNormal="84" workbookViewId="0">
      <pane ySplit="2" topLeftCell="A3" activePane="bottomLeft" state="frozen"/>
      <selection pane="bottomLeft" activeCell="B28" sqref="B28"/>
    </sheetView>
  </sheetViews>
  <sheetFormatPr defaultColWidth="8.6640625" defaultRowHeight="14.4" x14ac:dyDescent="0.3"/>
  <cols>
    <col min="1" max="1" width="48" customWidth="1"/>
    <col min="2" max="2" width="20" customWidth="1"/>
    <col min="3" max="5" width="33" customWidth="1"/>
  </cols>
  <sheetData>
    <row r="1" spans="1:5" ht="21" customHeight="1" x14ac:dyDescent="0.4">
      <c r="A1" s="3" t="s">
        <v>86</v>
      </c>
      <c r="B1" s="3"/>
      <c r="C1" s="3"/>
      <c r="D1" s="3"/>
      <c r="E1" s="3"/>
    </row>
    <row r="2" spans="1:5" ht="14.25" customHeight="1" x14ac:dyDescent="0.3">
      <c r="A2" s="16" t="s">
        <v>87</v>
      </c>
      <c r="B2" t="s">
        <v>88</v>
      </c>
      <c r="C2" t="s">
        <v>89</v>
      </c>
    </row>
    <row r="3" spans="1:5" ht="14.25" customHeight="1" x14ac:dyDescent="0.3">
      <c r="A3" t="s">
        <v>90</v>
      </c>
      <c r="B3" s="20">
        <v>6.7799999999999999E-2</v>
      </c>
      <c r="C3" t="s">
        <v>91</v>
      </c>
    </row>
    <row r="4" spans="1:5" ht="14.25" customHeight="1" x14ac:dyDescent="0.3">
      <c r="A4" t="s">
        <v>92</v>
      </c>
      <c r="B4" s="20">
        <v>0.85</v>
      </c>
      <c r="C4" t="s">
        <v>93</v>
      </c>
    </row>
    <row r="5" spans="1:5" ht="14.25" customHeight="1" x14ac:dyDescent="0.3">
      <c r="A5" t="s">
        <v>94</v>
      </c>
      <c r="B5" s="20">
        <v>5.5E-2</v>
      </c>
      <c r="C5" t="s">
        <v>95</v>
      </c>
    </row>
    <row r="6" spans="1:5" ht="14.25" customHeight="1" x14ac:dyDescent="0.3">
      <c r="A6" t="s">
        <v>96</v>
      </c>
      <c r="B6" s="23">
        <f>B3+(B4*B5)</f>
        <v>0.11455</v>
      </c>
      <c r="C6" t="s">
        <v>97</v>
      </c>
    </row>
    <row r="8" spans="1:5" ht="14.25" customHeight="1" x14ac:dyDescent="0.3">
      <c r="A8" s="16" t="s">
        <v>98</v>
      </c>
      <c r="B8" t="s">
        <v>99</v>
      </c>
      <c r="C8" t="s">
        <v>100</v>
      </c>
      <c r="D8" t="s">
        <v>101</v>
      </c>
      <c r="E8" t="s">
        <v>102</v>
      </c>
    </row>
    <row r="9" spans="1:5" ht="14.25" customHeight="1" x14ac:dyDescent="0.3">
      <c r="A9" t="s">
        <v>103</v>
      </c>
      <c r="B9" s="18">
        <v>4041</v>
      </c>
      <c r="C9" s="21">
        <f>'3. Financial Projections'!C15</f>
        <v>4041</v>
      </c>
      <c r="D9" s="21">
        <f>'3. Financial Projections'!D15</f>
        <v>4552.2071999999998</v>
      </c>
      <c r="E9" s="21">
        <f>'3. Financial Projections'!E15</f>
        <v>5135.8643999999995</v>
      </c>
    </row>
    <row r="10" spans="1:5" ht="14.25" customHeight="1" x14ac:dyDescent="0.3">
      <c r="A10" t="s">
        <v>104</v>
      </c>
      <c r="C10" s="21">
        <f>'3. Financial Projections'!D8</f>
        <v>568.00800000000004</v>
      </c>
      <c r="D10" s="21">
        <f>'3. Financial Projections'!E8</f>
        <v>648.50800000000004</v>
      </c>
      <c r="E10" s="21">
        <f>D10*(1+0.1417)</f>
        <v>740.40158359999998</v>
      </c>
    </row>
    <row r="11" spans="1:5" ht="14.25" customHeight="1" x14ac:dyDescent="0.3">
      <c r="A11" t="s">
        <v>105</v>
      </c>
      <c r="C11" s="21">
        <f>C9*$B$6</f>
        <v>462.89654999999999</v>
      </c>
      <c r="D11" s="21">
        <f>D9*$B$6</f>
        <v>521.45533476000003</v>
      </c>
      <c r="E11" s="21">
        <f>E9*$B$6</f>
        <v>588.3132670199999</v>
      </c>
    </row>
    <row r="12" spans="1:5" ht="14.25" customHeight="1" x14ac:dyDescent="0.3">
      <c r="A12" t="s">
        <v>106</v>
      </c>
      <c r="C12" s="21">
        <f>C10-C11</f>
        <v>105.11145000000005</v>
      </c>
      <c r="D12" s="21">
        <f>D10-D11</f>
        <v>127.05266524000001</v>
      </c>
      <c r="E12" s="21">
        <f>E10-E11</f>
        <v>152.08831658000008</v>
      </c>
    </row>
    <row r="13" spans="1:5" ht="14.25" customHeight="1" x14ac:dyDescent="0.3">
      <c r="A13" t="s">
        <v>107</v>
      </c>
      <c r="C13" s="21">
        <f>(1+$B$6)^1</f>
        <v>1.1145499999999999</v>
      </c>
      <c r="D13" s="21">
        <f>(1+$B$6)^2</f>
        <v>1.2422217024999997</v>
      </c>
    </row>
    <row r="14" spans="1:5" ht="14.25" customHeight="1" x14ac:dyDescent="0.3">
      <c r="A14" t="s">
        <v>108</v>
      </c>
      <c r="C14" s="21">
        <f>C12/C13</f>
        <v>94.308420438742147</v>
      </c>
      <c r="D14" s="21">
        <f>D12/D13</f>
        <v>102.27857473774898</v>
      </c>
    </row>
    <row r="16" spans="1:5" ht="14.25" customHeight="1" x14ac:dyDescent="0.3">
      <c r="A16" s="16" t="s">
        <v>109</v>
      </c>
    </row>
    <row r="17" spans="1:3" ht="14.25" customHeight="1" x14ac:dyDescent="0.3">
      <c r="A17" t="s">
        <v>110</v>
      </c>
      <c r="B17" s="20">
        <v>0.05</v>
      </c>
      <c r="C17" t="s">
        <v>111</v>
      </c>
    </row>
    <row r="18" spans="1:3" ht="14.25" customHeight="1" x14ac:dyDescent="0.3">
      <c r="A18" t="s">
        <v>112</v>
      </c>
      <c r="B18" s="21">
        <f>E12/($B$6-B17)</f>
        <v>2356.1319377226969</v>
      </c>
    </row>
    <row r="19" spans="1:3" ht="14.25" customHeight="1" x14ac:dyDescent="0.3">
      <c r="A19" t="s">
        <v>113</v>
      </c>
      <c r="B19" s="21">
        <f>B18/D13</f>
        <v>1896.7080779388471</v>
      </c>
      <c r="C19" t="s">
        <v>114</v>
      </c>
    </row>
    <row r="21" spans="1:3" ht="14.25" customHeight="1" x14ac:dyDescent="0.3">
      <c r="A21" s="16" t="s">
        <v>115</v>
      </c>
    </row>
    <row r="22" spans="1:3" ht="14.25" customHeight="1" x14ac:dyDescent="0.3">
      <c r="A22" t="s">
        <v>116</v>
      </c>
      <c r="B22" s="21">
        <f>SUM(C14:D14)</f>
        <v>196.58699517649114</v>
      </c>
    </row>
    <row r="23" spans="1:3" ht="14.25" customHeight="1" x14ac:dyDescent="0.3">
      <c r="A23" t="s">
        <v>113</v>
      </c>
      <c r="B23" s="21">
        <f>B19</f>
        <v>1896.7080779388471</v>
      </c>
    </row>
    <row r="24" spans="1:3" ht="14.25" customHeight="1" x14ac:dyDescent="0.3">
      <c r="A24" t="s">
        <v>117</v>
      </c>
      <c r="B24" s="21">
        <f>B22+B23</f>
        <v>2093.2950731153383</v>
      </c>
    </row>
    <row r="25" spans="1:3" ht="14.25" customHeight="1" x14ac:dyDescent="0.3">
      <c r="A25" t="s">
        <v>118</v>
      </c>
      <c r="B25" s="21">
        <f>B9</f>
        <v>4041</v>
      </c>
      <c r="C25" t="s">
        <v>119</v>
      </c>
    </row>
    <row r="26" spans="1:3" ht="14.25" customHeight="1" x14ac:dyDescent="0.3">
      <c r="A26" t="s">
        <v>120</v>
      </c>
      <c r="B26" s="21">
        <f>B24+B25</f>
        <v>6134.2950731153378</v>
      </c>
    </row>
    <row r="27" spans="1:3" ht="14.25" customHeight="1" x14ac:dyDescent="0.3">
      <c r="A27" t="s">
        <v>121</v>
      </c>
      <c r="B27" s="19">
        <v>6.2560000000000002</v>
      </c>
    </row>
    <row r="28" spans="1:3" ht="14.25" customHeight="1" x14ac:dyDescent="0.3">
      <c r="A28" s="16" t="s">
        <v>122</v>
      </c>
      <c r="B28" s="21">
        <f>B26/B27</f>
        <v>980.54588764631353</v>
      </c>
    </row>
    <row r="29" spans="1:3" ht="14.25" customHeight="1" x14ac:dyDescent="0.3">
      <c r="A29" t="s">
        <v>123</v>
      </c>
      <c r="B29" s="19">
        <v>362</v>
      </c>
    </row>
    <row r="30" spans="1:3" ht="14.25" customHeight="1" x14ac:dyDescent="0.3">
      <c r="A30" t="s">
        <v>124</v>
      </c>
      <c r="B30" s="23">
        <f>(B28-B29)/B29</f>
        <v>1.7086902973655069</v>
      </c>
    </row>
    <row r="32" spans="1:3" ht="14.25" customHeight="1" x14ac:dyDescent="0.3">
      <c r="A32" s="24" t="s">
        <v>125</v>
      </c>
      <c r="B32" s="24"/>
      <c r="C32" s="24"/>
    </row>
    <row r="33" spans="1:3" ht="14.25" customHeight="1" x14ac:dyDescent="0.3">
      <c r="B33" s="9" t="s">
        <v>100</v>
      </c>
      <c r="C33" s="9" t="s">
        <v>101</v>
      </c>
    </row>
    <row r="34" spans="1:3" ht="14.25" customHeight="1" x14ac:dyDescent="0.3">
      <c r="A34" s="9" t="s">
        <v>126</v>
      </c>
      <c r="B34" s="12">
        <f>C10/C9</f>
        <v>0.14056124721603563</v>
      </c>
      <c r="C34" s="12">
        <f>D10/D9</f>
        <v>0.1424601235198609</v>
      </c>
    </row>
    <row r="35" spans="1:3" ht="14.25" customHeight="1" x14ac:dyDescent="0.3">
      <c r="A35" s="9" t="s">
        <v>96</v>
      </c>
      <c r="B35" s="12">
        <f>$B$6</f>
        <v>0.11455</v>
      </c>
      <c r="C35" s="12">
        <f>$B$6</f>
        <v>0.11455</v>
      </c>
    </row>
    <row r="36" spans="1:3" ht="14.25" customHeight="1" x14ac:dyDescent="0.3">
      <c r="A36" s="9" t="s">
        <v>127</v>
      </c>
      <c r="B36" s="12">
        <f>B34-B35</f>
        <v>2.6011247216035635E-2</v>
      </c>
      <c r="C36" s="12">
        <f>C34-C35</f>
        <v>2.7910123519860899E-2</v>
      </c>
    </row>
    <row r="37" spans="1:3" ht="14.25" customHeight="1" x14ac:dyDescent="0.3">
      <c r="A37" s="9" t="s">
        <v>128</v>
      </c>
      <c r="B37" s="25">
        <f>C12</f>
        <v>105.11145000000005</v>
      </c>
      <c r="C37" s="25">
        <f>D12</f>
        <v>127.05266524000001</v>
      </c>
    </row>
    <row r="38" spans="1:3" ht="14.25" customHeight="1" x14ac:dyDescent="0.3">
      <c r="A38" s="22" t="s">
        <v>129</v>
      </c>
    </row>
    <row r="40" spans="1:3" ht="14.25" customHeight="1" x14ac:dyDescent="0.3">
      <c r="A40" s="24" t="s">
        <v>130</v>
      </c>
      <c r="B40" s="24"/>
      <c r="C40" s="24"/>
    </row>
    <row r="41" spans="1:3" ht="14.25" customHeight="1" x14ac:dyDescent="0.3">
      <c r="A41" s="9" t="s">
        <v>131</v>
      </c>
      <c r="B41" s="12">
        <f>1-'3. Financial Projections'!E9</f>
        <v>0.9</v>
      </c>
    </row>
    <row r="42" spans="1:3" ht="14.25" customHeight="1" x14ac:dyDescent="0.3">
      <c r="A42" s="9" t="s">
        <v>132</v>
      </c>
      <c r="B42" s="12">
        <f>C34</f>
        <v>0.1424601235198609</v>
      </c>
    </row>
    <row r="43" spans="1:3" ht="14.25" customHeight="1" x14ac:dyDescent="0.3">
      <c r="A43" s="9" t="s">
        <v>133</v>
      </c>
      <c r="B43" s="12">
        <f>B41*B42</f>
        <v>0.12821411116787482</v>
      </c>
    </row>
    <row r="44" spans="1:3" ht="14.25" customHeight="1" x14ac:dyDescent="0.3">
      <c r="A44" s="9" t="s">
        <v>134</v>
      </c>
      <c r="B44" s="12">
        <f>B17</f>
        <v>0.05</v>
      </c>
    </row>
    <row r="45" spans="1:3" ht="14.25" customHeight="1" x14ac:dyDescent="0.3">
      <c r="A45" s="9" t="s">
        <v>135</v>
      </c>
      <c r="B45" s="9" t="str">
        <f>IF(B44&lt;=B43,"Conservative (g &lt;= Sustainable Rate)","AGGRESSIVE - Review g")</f>
        <v>Conservative (g &lt;= Sustainable Rate)</v>
      </c>
    </row>
    <row r="46" spans="1:3" ht="45" customHeight="1" x14ac:dyDescent="0.3">
      <c r="A46" s="22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4:I26"/>
  <sheetViews>
    <sheetView showGridLines="0"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K19" sqref="K19"/>
    </sheetView>
  </sheetViews>
  <sheetFormatPr defaultColWidth="8.6640625" defaultRowHeight="14.4" x14ac:dyDescent="0.3"/>
  <cols>
    <col min="4" max="4" width="20" customWidth="1"/>
    <col min="5" max="5" width="28.5546875" customWidth="1"/>
    <col min="6" max="6" width="27.77734375" customWidth="1"/>
    <col min="7" max="7" width="27.33203125" customWidth="1"/>
    <col min="8" max="8" width="27.5546875" customWidth="1"/>
    <col min="9" max="9" width="13" customWidth="1"/>
  </cols>
  <sheetData>
    <row r="4" spans="4:9" ht="14.25" customHeight="1" x14ac:dyDescent="0.3">
      <c r="D4" s="24" t="s">
        <v>137</v>
      </c>
      <c r="E4" s="24"/>
      <c r="F4" s="24"/>
      <c r="G4" s="24"/>
      <c r="H4" s="24"/>
      <c r="I4" s="24"/>
    </row>
    <row r="5" spans="4:9" ht="14.25" customHeight="1" x14ac:dyDescent="0.3">
      <c r="D5" s="26" t="s">
        <v>138</v>
      </c>
      <c r="E5" s="27">
        <f>0.09</f>
        <v>0.09</v>
      </c>
      <c r="F5" s="27">
        <v>0.1</v>
      </c>
      <c r="G5" s="28">
        <f>'4. Residual Income Valuation'!B6</f>
        <v>0.11455</v>
      </c>
      <c r="H5" s="27">
        <f>0.12</f>
        <v>0.12</v>
      </c>
      <c r="I5" s="27">
        <f>0.13</f>
        <v>0.13</v>
      </c>
    </row>
    <row r="6" spans="4:9" ht="14.25" customHeight="1" x14ac:dyDescent="0.3">
      <c r="D6" s="27">
        <v>0.03</v>
      </c>
      <c r="E6" s="29">
        <f>((('4. Residual Income Valuation'!$C$10-'4. Residual Income Valuation'!$C$9*E$5)/(1+E$5))+(('4. Residual Income Valuation'!$D$10-'4. Residual Income Valuation'!$D$9*E$5)/(1+E$5)^2)+((('4. Residual Income Valuation'!$E$10-'4. Residual Income Valuation'!$E$9*E$5)/(E$5-$D6))/(1+E$5)^2)+'4. Residual Income Valuation'!$B$9)/'4. Residual Income Valuation'!$B$27</f>
        <v>1331.7887821995516</v>
      </c>
      <c r="F6" s="29">
        <f>((('4. Residual Income Valuation'!$C$10-'4. Residual Income Valuation'!$C$9*F$5)/(1+F$5))+(('4. Residual Income Valuation'!$D$10-'4. Residual Income Valuation'!$D$9*F$5)/(1+F$5)^2)+((('4. Residual Income Valuation'!$E$10-'4. Residual Income Valuation'!$E$9*F$5)/(F$5-$D6))/(1+F$5)^2)+'4. Residual Income Valuation'!$B$9)/'4. Residual Income Valuation'!$B$27</f>
        <v>1123.3397646877652</v>
      </c>
      <c r="G6" s="29">
        <f>((('4. Residual Income Valuation'!$C$10-'4. Residual Income Valuation'!$C$9*G$5)/(1+G$5))+(('4. Residual Income Valuation'!$D$10-'4. Residual Income Valuation'!$D$9*G$5)/(1+G$5)^2)+((('4. Residual Income Valuation'!$E$10-'4. Residual Income Valuation'!$E$9*G$5)/(G$5-$D6))/(1+G$5)^2)+'4. Residual Income Valuation'!$B$9)/'4. Residual Income Valuation'!$B$27</f>
        <v>908.8292140751264</v>
      </c>
      <c r="H6" s="29">
        <f>((('4. Residual Income Valuation'!$C$10-'4. Residual Income Valuation'!$C$9*H$5)/(1+H$5))+(('4. Residual Income Valuation'!$D$10-'4. Residual Income Valuation'!$D$9*H$5)/(1+H$5)^2)+((('4. Residual Income Valuation'!$E$10-'4. Residual Income Valuation'!$E$9*H$5)/(H$5-$D6))/(1+H$5)^2)+'4. Residual Income Valuation'!$B$9)/'4. Residual Income Valuation'!$B$27</f>
        <v>846.53390375624906</v>
      </c>
      <c r="I6" s="29">
        <f>((('4. Residual Income Valuation'!$C$10-'4. Residual Income Valuation'!$C$9*I$5)/(1+I$5))+(('4. Residual Income Valuation'!$D$10-'4. Residual Income Valuation'!$D$9*I$5)/(1+I$5)^2)+((('4. Residual Income Valuation'!$E$10-'4. Residual Income Valuation'!$E$9*I$5)/(I$5-$D6))/(1+I$5)^2)+'4. Residual Income Valuation'!$B$9)/'4. Residual Income Valuation'!$B$27</f>
        <v>750.13487498395148</v>
      </c>
    </row>
    <row r="7" spans="4:9" ht="14.25" customHeight="1" x14ac:dyDescent="0.3">
      <c r="D7" s="27">
        <v>0.04</v>
      </c>
      <c r="E7" s="29">
        <f>((('4. Residual Income Valuation'!$C$10-'4. Residual Income Valuation'!$C$9*E$5)/(1+E$5))+(('4. Residual Income Valuation'!$D$10-'4. Residual Income Valuation'!$D$9*E$5)/(1+E$5)^2)+((('4. Residual Income Valuation'!$E$10-'4. Residual Income Valuation'!$E$9*E$5)/(E$5-$D7))/(1+E$5)^2)+'4. Residual Income Valuation'!$B$9)/'4. Residual Income Valuation'!$B$27</f>
        <v>1456.5401204743284</v>
      </c>
      <c r="F7" s="29">
        <f>((('4. Residual Income Valuation'!$C$10-'4. Residual Income Valuation'!$C$9*F$5)/(1+F$5))+(('4. Residual Income Valuation'!$D$10-'4. Residual Income Valuation'!$D$9*F$5)/(1+F$5)^2)+((('4. Residual Income Valuation'!$E$10-'4. Residual Income Valuation'!$E$9*F$5)/(F$5-$D7))/(1+F$5)^2)+'4. Residual Income Valuation'!$B$9)/'4. Residual Income Valuation'!$B$27</f>
        <v>1194.6810035368801</v>
      </c>
      <c r="G7" s="29">
        <f>((('4. Residual Income Valuation'!$C$10-'4. Residual Income Valuation'!$C$9*G$5)/(1+G$5))+(('4. Residual Income Valuation'!$D$10-'4. Residual Income Valuation'!$D$9*G$5)/(1+G$5)^2)+((('4. Residual Income Valuation'!$E$10-'4. Residual Income Valuation'!$E$9*G$5)/(G$5-$D7))/(1+G$5)^2)+'4. Residual Income Valuation'!$B$9)/'4. Residual Income Valuation'!$B$27</f>
        <v>939.87757946090869</v>
      </c>
      <c r="H7" s="29">
        <f>((('4. Residual Income Valuation'!$C$10-'4. Residual Income Valuation'!$C$9*H$5)/(1+H$5))+(('4. Residual Income Valuation'!$D$10-'4. Residual Income Valuation'!$D$9*H$5)/(1+H$5)^2)+((('4. Residual Income Valuation'!$E$10-'4. Residual Income Valuation'!$E$9*H$5)/(H$5-$D7))/(1+H$5)^2)+'4. Residual Income Valuation'!$B$9)/'4. Residual Income Valuation'!$B$27</f>
        <v>868.49727463165993</v>
      </c>
      <c r="I7" s="29">
        <f>((('4. Residual Income Valuation'!$C$10-'4. Residual Income Valuation'!$C$9*I$5)/(1+I$5))+(('4. Residual Income Valuation'!$D$10-'4. Residual Income Valuation'!$D$9*I$5)/(1+I$5)^2)+((('4. Residual Income Valuation'!$E$10-'4. Residual Income Valuation'!$E$9*I$5)/(I$5-$D7))/(1+I$5)^2)+'4. Residual Income Valuation'!$B$9)/'4. Residual Income Valuation'!$B$27</f>
        <v>760.25235727930612</v>
      </c>
    </row>
    <row r="8" spans="4:9" ht="14.25" customHeight="1" x14ac:dyDescent="0.3">
      <c r="D8" s="28">
        <f>'4. Residual Income Valuation'!B17</f>
        <v>0.05</v>
      </c>
      <c r="E8" s="29">
        <f>((('4. Residual Income Valuation'!$C$10-'4. Residual Income Valuation'!$C$9*E$5)/(1+E$5))+(('4. Residual Income Valuation'!$D$10-'4. Residual Income Valuation'!$D$9*E$5)/(1+E$5)^2)+((('4. Residual Income Valuation'!$E$10-'4. Residual Income Valuation'!$E$9*E$5)/(E$5-$D8))/(1+E$5)^2)+'4. Residual Income Valuation'!$B$9)/'4. Residual Income Valuation'!$B$27</f>
        <v>1643.6671278864942</v>
      </c>
      <c r="F8" s="29">
        <f>((('4. Residual Income Valuation'!$C$10-'4. Residual Income Valuation'!$C$9*F$5)/(1+F$5))+(('4. Residual Income Valuation'!$D$10-'4. Residual Income Valuation'!$D$9*F$5)/(1+F$5)^2)+((('4. Residual Income Valuation'!$E$10-'4. Residual Income Valuation'!$E$9*F$5)/(F$5-$D8))/(1+F$5)^2)+'4. Residual Income Valuation'!$B$9)/'4. Residual Income Valuation'!$B$27</f>
        <v>1294.5587379256408</v>
      </c>
      <c r="G8" s="30">
        <f>((('4. Residual Income Valuation'!$C$10-'4. Residual Income Valuation'!$C$9*G$5)/(1+G$5))+(('4. Residual Income Valuation'!$D$10-'4. Residual Income Valuation'!$D$9*G$5)/(1+G$5)^2)+((('4. Residual Income Valuation'!$E$10-'4. Residual Income Valuation'!$E$9*G$5)/(G$5-$D8))/(1+G$5)^2)+'4. Residual Income Valuation'!$B$9)/'4. Residual Income Valuation'!$B$27</f>
        <v>980.54588764631353</v>
      </c>
      <c r="H8" s="29">
        <f>((('4. Residual Income Valuation'!$C$10-'4. Residual Income Valuation'!$C$9*H$5)/(1+H$5))+(('4. Residual Income Valuation'!$D$10-'4. Residual Income Valuation'!$D$9*H$5)/(1+H$5)^2)+((('4. Residual Income Valuation'!$E$10-'4. Residual Income Valuation'!$E$9*H$5)/(H$5-$D8))/(1+H$5)^2)+'4. Residual Income Valuation'!$B$9)/'4. Residual Income Valuation'!$B$27</f>
        <v>896.73589432861672</v>
      </c>
      <c r="I8" s="29">
        <f>((('4. Residual Income Valuation'!$C$10-'4. Residual Income Valuation'!$C$9*I$5)/(1+I$5))+(('4. Residual Income Valuation'!$D$10-'4. Residual Income Valuation'!$D$9*I$5)/(1+I$5)^2)+((('4. Residual Income Valuation'!$E$10-'4. Residual Income Valuation'!$E$9*I$5)/(I$5-$D8))/(1+I$5)^2)+'4. Residual Income Valuation'!$B$9)/'4. Residual Income Valuation'!$B$27</f>
        <v>772.89921014849938</v>
      </c>
    </row>
    <row r="9" spans="4:9" ht="14.25" customHeight="1" x14ac:dyDescent="0.3">
      <c r="D9" s="27">
        <v>0.06</v>
      </c>
      <c r="E9" s="29">
        <f>((('4. Residual Income Valuation'!$C$10-'4. Residual Income Valuation'!$C$9*E$5)/(1+E$5))+(('4. Residual Income Valuation'!$D$10-'4. Residual Income Valuation'!$D$9*E$5)/(1+E$5)^2)+((('4. Residual Income Valuation'!$E$10-'4. Residual Income Valuation'!$E$9*E$5)/(E$5-$D9))/(1+E$5)^2)+'4. Residual Income Valuation'!$B$9)/'4. Residual Income Valuation'!$B$27</f>
        <v>1955.5454735734368</v>
      </c>
      <c r="F9" s="29">
        <f>((('4. Residual Income Valuation'!$C$10-'4. Residual Income Valuation'!$C$9*F$5)/(1+F$5))+(('4. Residual Income Valuation'!$D$10-'4. Residual Income Valuation'!$D$9*F$5)/(1+F$5)^2)+((('4. Residual Income Valuation'!$E$10-'4. Residual Income Valuation'!$E$9*F$5)/(F$5-$D9))/(1+F$5)^2)+'4. Residual Income Valuation'!$B$9)/'4. Residual Income Valuation'!$B$27</f>
        <v>1444.3753395087824</v>
      </c>
      <c r="G9" s="29">
        <f>((('4. Residual Income Valuation'!$C$10-'4. Residual Income Valuation'!$C$9*G$5)/(1+G$5))+(('4. Residual Income Valuation'!$D$10-'4. Residual Income Valuation'!$D$9*G$5)/(1+G$5)^2)+((('4. Residual Income Valuation'!$E$10-'4. Residual Income Valuation'!$E$9*G$5)/(G$5-$D9))/(1+G$5)^2)+'4. Residual Income Valuation'!$B$9)/'4. Residual Income Valuation'!$B$27</f>
        <v>1036.1246662938286</v>
      </c>
      <c r="H9" s="29">
        <f>((('4. Residual Income Valuation'!$C$10-'4. Residual Income Valuation'!$C$9*H$5)/(1+H$5))+(('4. Residual Income Valuation'!$D$10-'4. Residual Income Valuation'!$D$9*H$5)/(1+H$5)^2)+((('4. Residual Income Valuation'!$E$10-'4. Residual Income Valuation'!$E$9*H$5)/(H$5-$D9))/(1+H$5)^2)+'4. Residual Income Valuation'!$B$9)/'4. Residual Income Valuation'!$B$27</f>
        <v>934.38738725789256</v>
      </c>
      <c r="I9" s="29">
        <f>((('4. Residual Income Valuation'!$C$10-'4. Residual Income Valuation'!$C$9*I$5)/(1+I$5))+(('4. Residual Income Valuation'!$D$10-'4. Residual Income Valuation'!$D$9*I$5)/(1+I$5)^2)+((('4. Residual Income Valuation'!$E$10-'4. Residual Income Valuation'!$E$9*I$5)/(I$5-$D9))/(1+I$5)^2)+'4. Residual Income Valuation'!$B$9)/'4. Residual Income Valuation'!$B$27</f>
        <v>789.15944955174803</v>
      </c>
    </row>
    <row r="10" spans="4:9" ht="14.25" customHeight="1" x14ac:dyDescent="0.3">
      <c r="D10" s="27">
        <v>7.0000000000000007E-2</v>
      </c>
      <c r="E10" s="29">
        <f>((('4. Residual Income Valuation'!$C$10-'4. Residual Income Valuation'!$C$9*E$5)/(1+E$5))+(('4. Residual Income Valuation'!$D$10-'4. Residual Income Valuation'!$D$9*E$5)/(1+E$5)^2)+((('4. Residual Income Valuation'!$E$10-'4. Residual Income Valuation'!$E$9*E$5)/(E$5-$D10))/(1+E$5)^2)+'4. Residual Income Valuation'!$B$9)/'4. Residual Income Valuation'!$B$27</f>
        <v>2579.302164947323</v>
      </c>
      <c r="F10" s="29">
        <f>((('4. Residual Income Valuation'!$C$10-'4. Residual Income Valuation'!$C$9*F$5)/(1+F$5))+(('4. Residual Income Valuation'!$D$10-'4. Residual Income Valuation'!$D$9*F$5)/(1+F$5)^2)+((('4. Residual Income Valuation'!$E$10-'4. Residual Income Valuation'!$E$9*F$5)/(F$5-$D10))/(1+F$5)^2)+'4. Residual Income Valuation'!$B$9)/'4. Residual Income Valuation'!$B$27</f>
        <v>1694.0696754806845</v>
      </c>
      <c r="G10" s="29">
        <f>((('4. Residual Income Valuation'!$C$10-'4. Residual Income Valuation'!$C$9*G$5)/(1+G$5))+(('4. Residual Income Valuation'!$D$10-'4. Residual Income Valuation'!$D$9*G$5)/(1+G$5)^2)+((('4. Residual Income Valuation'!$E$10-'4. Residual Income Valuation'!$E$9*G$5)/(G$5-$D10))/(1+G$5)^2)+'4. Residual Income Valuation'!$B$9)/'4. Residual Income Valuation'!$B$27</f>
        <v>1116.6546362533593</v>
      </c>
      <c r="H10" s="29">
        <f>((('4. Residual Income Valuation'!$C$10-'4. Residual Income Valuation'!$C$9*H$5)/(1+H$5))+(('4. Residual Income Valuation'!$D$10-'4. Residual Income Valuation'!$D$9*H$5)/(1+H$5)^2)+((('4. Residual Income Valuation'!$E$10-'4. Residual Income Valuation'!$E$9*H$5)/(H$5-$D10))/(1+H$5)^2)+'4. Residual Income Valuation'!$B$9)/'4. Residual Income Valuation'!$B$27</f>
        <v>987.09947735887863</v>
      </c>
      <c r="I10" s="29">
        <f>((('4. Residual Income Valuation'!$C$10-'4. Residual Income Valuation'!$C$9*I$5)/(1+I$5))+(('4. Residual Income Valuation'!$D$10-'4. Residual Income Valuation'!$D$9*I$5)/(1+I$5)^2)+((('4. Residual Income Valuation'!$E$10-'4. Residual Income Valuation'!$E$9*I$5)/(I$5-$D10))/(1+I$5)^2)+'4. Residual Income Valuation'!$B$9)/'4. Residual Income Valuation'!$B$27</f>
        <v>810.83976875607925</v>
      </c>
    </row>
    <row r="12" spans="4:9" ht="14.25" customHeight="1" x14ac:dyDescent="0.3">
      <c r="D12" s="24" t="s">
        <v>139</v>
      </c>
      <c r="E12" s="31"/>
      <c r="F12" s="31"/>
      <c r="G12" s="31"/>
      <c r="H12" s="31"/>
    </row>
    <row r="13" spans="4:9" ht="14.25" customHeight="1" x14ac:dyDescent="0.3">
      <c r="D13" s="32" t="s">
        <v>140</v>
      </c>
      <c r="E13" s="32" t="s">
        <v>96</v>
      </c>
      <c r="F13" s="32" t="s">
        <v>141</v>
      </c>
      <c r="G13" s="32" t="s">
        <v>142</v>
      </c>
      <c r="H13" s="32" t="s">
        <v>143</v>
      </c>
    </row>
    <row r="14" spans="4:9" ht="14.25" customHeight="1" x14ac:dyDescent="0.3">
      <c r="D14" s="33" t="s">
        <v>144</v>
      </c>
      <c r="E14" s="34">
        <f>I5</f>
        <v>0.13</v>
      </c>
      <c r="F14" s="34">
        <f>D6</f>
        <v>0.03</v>
      </c>
      <c r="G14" s="29">
        <f>I6</f>
        <v>750.13487498395148</v>
      </c>
      <c r="H14" s="35">
        <f>(G14-'4. Residual Income Valuation'!$B$29)/'4. Residual Income Valuation'!$B$29</f>
        <v>1.0721957872484846</v>
      </c>
    </row>
    <row r="15" spans="4:9" ht="14.25" customHeight="1" x14ac:dyDescent="0.3">
      <c r="D15" s="36" t="s">
        <v>145</v>
      </c>
      <c r="E15" s="34">
        <f>G5</f>
        <v>0.11455</v>
      </c>
      <c r="F15" s="34">
        <f>D8</f>
        <v>0.05</v>
      </c>
      <c r="G15" s="29">
        <f>G8</f>
        <v>980.54588764631353</v>
      </c>
      <c r="H15" s="35">
        <f>(G15-'4. Residual Income Valuation'!$B$29)/'4. Residual Income Valuation'!$B$29</f>
        <v>1.7086902973655069</v>
      </c>
    </row>
    <row r="16" spans="4:9" ht="14.25" customHeight="1" x14ac:dyDescent="0.3">
      <c r="D16" s="33" t="s">
        <v>146</v>
      </c>
      <c r="E16" s="34">
        <f>E5</f>
        <v>0.09</v>
      </c>
      <c r="F16" s="34">
        <f>D10</f>
        <v>7.0000000000000007E-2</v>
      </c>
      <c r="G16" s="29">
        <f>E10</f>
        <v>2579.302164947323</v>
      </c>
      <c r="H16" s="35">
        <f>(G16-'4. Residual Income Valuation'!$B$29)/'4. Residual Income Valuation'!$B$29</f>
        <v>6.1251441020644286</v>
      </c>
    </row>
    <row r="18" spans="4:9" ht="14.25" customHeight="1" x14ac:dyDescent="0.3">
      <c r="D18" s="24" t="s">
        <v>147</v>
      </c>
      <c r="E18" s="31"/>
      <c r="F18" s="31"/>
      <c r="G18" s="31"/>
      <c r="H18" s="31"/>
      <c r="I18" s="31"/>
    </row>
    <row r="19" spans="4:9" ht="14.25" customHeight="1" x14ac:dyDescent="0.3">
      <c r="D19" s="41" t="str">
        <f>"Across a Ke range of 9%-13% and terminal growth range of 3%-7%, estimated intrinsic value ranges from Rs."&amp;TEXT(I6,"#,##0")&amp;" (Bear Case) to Rs."&amp;TEXT(E10,"#,##0")&amp;" (Bull Case) per share, versus a CMP of Rs."&amp;TEXT('4. Residual Income Valuation'!$B$29,"#,##0")&amp;". The Base Case of Rs."&amp;TEXT(G8,"#,##0")&amp;" implies "&amp;TEXT((G8-'4. Residual Income Valuation'!$B$29)/'4. Residual Income Valuation'!$B$29,"0.0%")&amp;" upside. The stock screens as undervalued in every scenario tested, but the Base Case figure should be read as a scenario estimate, not a precise price target."</f>
        <v>Across a Ke range of 9%-13% and terminal growth range of 3%-7%, estimated intrinsic value ranges from Rs.750 (Bear Case) to Rs.2,579 (Bull Case) per share, versus a CMP of Rs.362. The Base Case of Rs.981 implies 170.9% upside. The stock screens as undervalued in every scenario tested, but the Base Case figure should be read as a scenario estimate, not a precise price target.</v>
      </c>
      <c r="E19" s="41"/>
      <c r="F19" s="41"/>
      <c r="G19" s="41"/>
      <c r="H19" s="41"/>
      <c r="I19" s="41"/>
    </row>
    <row r="20" spans="4:9" ht="14.25" customHeight="1" x14ac:dyDescent="0.3">
      <c r="D20" s="41"/>
      <c r="E20" s="41"/>
      <c r="F20" s="41"/>
      <c r="G20" s="41"/>
      <c r="H20" s="41"/>
      <c r="I20" s="41"/>
    </row>
    <row r="21" spans="4:9" ht="14.25" customHeight="1" x14ac:dyDescent="0.3">
      <c r="D21" s="41"/>
      <c r="E21" s="41"/>
      <c r="F21" s="41"/>
      <c r="G21" s="41"/>
      <c r="H21" s="41"/>
      <c r="I21" s="41"/>
    </row>
    <row r="22" spans="4:9" ht="14.25" customHeight="1" x14ac:dyDescent="0.3">
      <c r="D22" s="41"/>
      <c r="E22" s="41"/>
      <c r="F22" s="41"/>
      <c r="G22" s="41"/>
      <c r="H22" s="41"/>
      <c r="I22" s="41"/>
    </row>
    <row r="24" spans="4:9" ht="14.25" customHeight="1" x14ac:dyDescent="0.3">
      <c r="D24" s="42" t="s">
        <v>148</v>
      </c>
      <c r="E24" s="42"/>
      <c r="F24" s="42"/>
      <c r="G24" s="42"/>
      <c r="H24" s="42"/>
      <c r="I24" s="42"/>
    </row>
    <row r="25" spans="4:9" ht="14.25" customHeight="1" x14ac:dyDescent="0.3">
      <c r="D25" s="42"/>
      <c r="E25" s="42"/>
      <c r="F25" s="42"/>
      <c r="G25" s="42"/>
      <c r="H25" s="42"/>
      <c r="I25" s="42"/>
    </row>
    <row r="26" spans="4:9" ht="14.25" customHeight="1" x14ac:dyDescent="0.3">
      <c r="D26" s="42"/>
      <c r="E26" s="42"/>
      <c r="F26" s="42"/>
      <c r="G26" s="42"/>
      <c r="H26" s="42"/>
      <c r="I26" s="42"/>
    </row>
  </sheetData>
  <mergeCells count="2">
    <mergeCell ref="D19:I22"/>
    <mergeCell ref="D24:I2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E32"/>
  <sheetViews>
    <sheetView showGridLines="0" topLeftCell="B1" zoomScaleNormal="100" workbookViewId="0"/>
  </sheetViews>
  <sheetFormatPr defaultColWidth="8.6640625" defaultRowHeight="14.4" x14ac:dyDescent="0.3"/>
  <cols>
    <col min="1" max="1" width="5" customWidth="1"/>
    <col min="2" max="2" width="10" customWidth="1"/>
    <col min="3" max="3" width="39.21875" customWidth="1"/>
    <col min="4" max="4" width="65.33203125" customWidth="1"/>
    <col min="5" max="5" width="92.77734375" customWidth="1"/>
  </cols>
  <sheetData>
    <row r="1" spans="1:5" ht="19.5" customHeight="1" x14ac:dyDescent="0.4">
      <c r="A1" s="37" t="s">
        <v>149</v>
      </c>
      <c r="B1" s="38"/>
      <c r="C1" s="38"/>
      <c r="D1" s="38"/>
      <c r="E1" s="38"/>
    </row>
    <row r="2" spans="1:5" ht="15" customHeight="1" x14ac:dyDescent="0.3">
      <c r="A2" s="39" t="s">
        <v>150</v>
      </c>
    </row>
    <row r="4" spans="1:5" ht="15" customHeight="1" x14ac:dyDescent="0.3">
      <c r="A4" s="24" t="s">
        <v>151</v>
      </c>
      <c r="B4" s="24" t="s">
        <v>152</v>
      </c>
      <c r="C4" s="24" t="s">
        <v>153</v>
      </c>
      <c r="D4" s="24" t="s">
        <v>154</v>
      </c>
      <c r="E4" s="24" t="s">
        <v>155</v>
      </c>
    </row>
    <row r="5" spans="1:5" ht="30" customHeight="1" x14ac:dyDescent="0.3">
      <c r="A5" s="1">
        <v>1</v>
      </c>
      <c r="B5" s="1" t="s">
        <v>156</v>
      </c>
      <c r="C5" s="40" t="s">
        <v>157</v>
      </c>
      <c r="D5" s="2" t="s">
        <v>158</v>
      </c>
      <c r="E5" s="1" t="s">
        <v>159</v>
      </c>
    </row>
    <row r="6" spans="1:5" ht="30" customHeight="1" x14ac:dyDescent="0.3">
      <c r="A6" s="1">
        <v>2</v>
      </c>
      <c r="B6" s="1" t="s">
        <v>160</v>
      </c>
      <c r="C6" s="40" t="s">
        <v>161</v>
      </c>
      <c r="D6" s="2" t="s">
        <v>162</v>
      </c>
      <c r="E6" s="1" t="s">
        <v>163</v>
      </c>
    </row>
    <row r="7" spans="1:5" ht="30" customHeight="1" x14ac:dyDescent="0.3">
      <c r="A7" s="1">
        <v>3</v>
      </c>
      <c r="B7" s="1" t="s">
        <v>160</v>
      </c>
      <c r="C7" s="40" t="s">
        <v>164</v>
      </c>
      <c r="D7" s="2" t="s">
        <v>165</v>
      </c>
      <c r="E7" s="1" t="s">
        <v>166</v>
      </c>
    </row>
    <row r="8" spans="1:5" ht="30" customHeight="1" x14ac:dyDescent="0.3">
      <c r="A8" s="1">
        <v>4</v>
      </c>
      <c r="B8" s="1" t="s">
        <v>160</v>
      </c>
      <c r="C8" s="40" t="s">
        <v>167</v>
      </c>
      <c r="D8" s="2" t="s">
        <v>168</v>
      </c>
      <c r="E8" s="1" t="s">
        <v>169</v>
      </c>
    </row>
    <row r="9" spans="1:5" ht="30" customHeight="1" x14ac:dyDescent="0.3">
      <c r="A9" s="1">
        <v>5</v>
      </c>
      <c r="B9" s="1" t="s">
        <v>160</v>
      </c>
      <c r="C9" s="40" t="s">
        <v>170</v>
      </c>
      <c r="D9" s="2" t="s">
        <v>171</v>
      </c>
      <c r="E9" s="1" t="s">
        <v>172</v>
      </c>
    </row>
    <row r="10" spans="1:5" ht="30" customHeight="1" x14ac:dyDescent="0.3">
      <c r="A10" s="1">
        <v>6</v>
      </c>
      <c r="B10" s="1" t="s">
        <v>160</v>
      </c>
      <c r="C10" s="40" t="s">
        <v>173</v>
      </c>
      <c r="D10" s="2" t="s">
        <v>174</v>
      </c>
      <c r="E10" s="1" t="s">
        <v>175</v>
      </c>
    </row>
    <row r="11" spans="1:5" ht="30" customHeight="1" x14ac:dyDescent="0.3">
      <c r="A11" s="1">
        <v>7</v>
      </c>
      <c r="B11" s="1" t="s">
        <v>176</v>
      </c>
      <c r="C11" s="40" t="s">
        <v>177</v>
      </c>
      <c r="D11" s="2" t="s">
        <v>178</v>
      </c>
      <c r="E11" s="1" t="s">
        <v>179</v>
      </c>
    </row>
    <row r="12" spans="1:5" ht="30" customHeight="1" x14ac:dyDescent="0.3">
      <c r="A12" s="1">
        <v>8</v>
      </c>
      <c r="B12" s="1" t="s">
        <v>176</v>
      </c>
      <c r="C12" s="40" t="s">
        <v>180</v>
      </c>
      <c r="D12" s="2" t="s">
        <v>181</v>
      </c>
      <c r="E12" s="1" t="s">
        <v>182</v>
      </c>
    </row>
    <row r="13" spans="1:5" ht="30" customHeight="1" x14ac:dyDescent="0.3">
      <c r="A13" s="1">
        <v>9</v>
      </c>
      <c r="B13" s="1" t="s">
        <v>176</v>
      </c>
      <c r="C13" s="40" t="s">
        <v>183</v>
      </c>
      <c r="D13" s="2" t="s">
        <v>184</v>
      </c>
      <c r="E13" s="1" t="s">
        <v>185</v>
      </c>
    </row>
    <row r="14" spans="1:5" ht="30" customHeight="1" x14ac:dyDescent="0.3">
      <c r="A14" s="1">
        <v>10</v>
      </c>
      <c r="B14" s="1" t="s">
        <v>176</v>
      </c>
      <c r="C14" s="40" t="s">
        <v>186</v>
      </c>
      <c r="D14" s="2" t="s">
        <v>187</v>
      </c>
      <c r="E14" s="1" t="s">
        <v>188</v>
      </c>
    </row>
    <row r="15" spans="1:5" ht="30" customHeight="1" x14ac:dyDescent="0.3">
      <c r="A15" s="1">
        <v>11</v>
      </c>
      <c r="B15" s="1" t="s">
        <v>176</v>
      </c>
      <c r="C15" s="40" t="s">
        <v>189</v>
      </c>
      <c r="D15" s="2" t="s">
        <v>190</v>
      </c>
      <c r="E15" s="1" t="s">
        <v>191</v>
      </c>
    </row>
    <row r="16" spans="1:5" ht="30" customHeight="1" x14ac:dyDescent="0.3">
      <c r="A16" s="1">
        <v>12</v>
      </c>
      <c r="B16" s="1" t="s">
        <v>176</v>
      </c>
      <c r="C16" s="40" t="s">
        <v>192</v>
      </c>
      <c r="D16" s="2" t="s">
        <v>193</v>
      </c>
      <c r="E16" s="1" t="s">
        <v>194</v>
      </c>
    </row>
    <row r="17" spans="1:5" ht="30" customHeight="1" x14ac:dyDescent="0.3">
      <c r="A17" s="1">
        <v>13</v>
      </c>
      <c r="B17" s="1" t="s">
        <v>176</v>
      </c>
      <c r="C17" s="40" t="s">
        <v>195</v>
      </c>
      <c r="D17" s="2" t="s">
        <v>196</v>
      </c>
      <c r="E17" s="1" t="s">
        <v>197</v>
      </c>
    </row>
    <row r="18" spans="1:5" ht="30" customHeight="1" x14ac:dyDescent="0.3">
      <c r="A18" s="1">
        <v>14</v>
      </c>
      <c r="B18" s="1" t="s">
        <v>176</v>
      </c>
      <c r="C18" s="40" t="s">
        <v>198</v>
      </c>
      <c r="D18" s="2" t="s">
        <v>199</v>
      </c>
      <c r="E18" s="1" t="s">
        <v>200</v>
      </c>
    </row>
    <row r="19" spans="1:5" ht="30" customHeight="1" x14ac:dyDescent="0.3">
      <c r="A19" s="1">
        <v>15</v>
      </c>
      <c r="B19" s="1" t="s">
        <v>176</v>
      </c>
      <c r="C19" s="40" t="s">
        <v>127</v>
      </c>
      <c r="D19" s="2" t="s">
        <v>201</v>
      </c>
      <c r="E19" s="1" t="s">
        <v>202</v>
      </c>
    </row>
    <row r="20" spans="1:5" ht="30" customHeight="1" x14ac:dyDescent="0.3">
      <c r="A20" s="1">
        <v>16</v>
      </c>
      <c r="B20" s="1" t="s">
        <v>176</v>
      </c>
      <c r="C20" s="40" t="s">
        <v>203</v>
      </c>
      <c r="D20" s="2" t="s">
        <v>204</v>
      </c>
      <c r="E20" s="1" t="s">
        <v>205</v>
      </c>
    </row>
    <row r="21" spans="1:5" ht="30" customHeight="1" x14ac:dyDescent="0.3">
      <c r="A21" s="1">
        <v>17</v>
      </c>
      <c r="B21" s="1" t="s">
        <v>206</v>
      </c>
      <c r="C21" s="40" t="s">
        <v>207</v>
      </c>
      <c r="D21" s="2" t="s">
        <v>208</v>
      </c>
      <c r="E21" s="1" t="s">
        <v>209</v>
      </c>
    </row>
    <row r="22" spans="1:5" ht="30" customHeight="1" x14ac:dyDescent="0.3">
      <c r="A22" s="1">
        <v>18</v>
      </c>
      <c r="B22" s="1" t="s">
        <v>206</v>
      </c>
      <c r="C22" s="40" t="s">
        <v>210</v>
      </c>
      <c r="D22" s="2" t="s">
        <v>211</v>
      </c>
      <c r="E22" s="1" t="s">
        <v>212</v>
      </c>
    </row>
    <row r="24" spans="1:5" ht="15" customHeight="1" x14ac:dyDescent="0.3">
      <c r="A24" s="24" t="s">
        <v>213</v>
      </c>
      <c r="B24" s="31"/>
      <c r="C24" s="31"/>
      <c r="D24" s="31"/>
      <c r="E24" s="31"/>
    </row>
    <row r="25" spans="1:5" ht="27.75" customHeight="1" x14ac:dyDescent="0.3">
      <c r="A25" s="43" t="s">
        <v>214</v>
      </c>
      <c r="B25" s="43"/>
      <c r="C25" s="43"/>
      <c r="D25" s="43"/>
      <c r="E25" s="43"/>
    </row>
    <row r="26" spans="1:5" ht="27.75" customHeight="1" x14ac:dyDescent="0.3">
      <c r="A26" s="43" t="s">
        <v>215</v>
      </c>
      <c r="B26" s="43"/>
      <c r="C26" s="43"/>
      <c r="D26" s="43"/>
      <c r="E26" s="43"/>
    </row>
    <row r="27" spans="1:5" ht="27.75" customHeight="1" x14ac:dyDescent="0.3">
      <c r="A27" s="43" t="s">
        <v>216</v>
      </c>
      <c r="B27" s="43"/>
      <c r="C27" s="43"/>
      <c r="D27" s="43"/>
      <c r="E27" s="43"/>
    </row>
    <row r="28" spans="1:5" ht="27.75" customHeight="1" x14ac:dyDescent="0.3">
      <c r="A28" s="43" t="s">
        <v>217</v>
      </c>
      <c r="B28" s="43"/>
      <c r="C28" s="43"/>
      <c r="D28" s="43"/>
      <c r="E28" s="43"/>
    </row>
    <row r="29" spans="1:5" ht="27.75" customHeight="1" x14ac:dyDescent="0.3">
      <c r="A29" s="43" t="s">
        <v>218</v>
      </c>
      <c r="B29" s="43"/>
      <c r="C29" s="43"/>
      <c r="D29" s="43"/>
      <c r="E29" s="43"/>
    </row>
    <row r="30" spans="1:5" ht="27.75" customHeight="1" x14ac:dyDescent="0.3">
      <c r="A30" s="43" t="s">
        <v>219</v>
      </c>
      <c r="B30" s="43"/>
      <c r="C30" s="43"/>
      <c r="D30" s="43"/>
      <c r="E30" s="43"/>
    </row>
    <row r="31" spans="1:5" ht="27.75" customHeight="1" x14ac:dyDescent="0.3">
      <c r="A31" s="43" t="s">
        <v>220</v>
      </c>
      <c r="B31" s="43"/>
      <c r="C31" s="43"/>
      <c r="D31" s="43"/>
      <c r="E31" s="43"/>
    </row>
    <row r="32" spans="1:5" ht="27.75" customHeight="1" x14ac:dyDescent="0.3">
      <c r="A32" s="43" t="s">
        <v>221</v>
      </c>
      <c r="B32" s="43"/>
      <c r="C32" s="43"/>
      <c r="D32" s="43"/>
      <c r="E32" s="43"/>
    </row>
  </sheetData>
  <mergeCells count="8">
    <mergeCell ref="A30:E30"/>
    <mergeCell ref="A31:E31"/>
    <mergeCell ref="A32:E32"/>
    <mergeCell ref="A25:E25"/>
    <mergeCell ref="A26:E26"/>
    <mergeCell ref="A27:E27"/>
    <mergeCell ref="A28:E28"/>
    <mergeCell ref="A29:E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Cover &amp; Dashboard</vt:lpstr>
      <vt:lpstr>2. Reverse Engineering</vt:lpstr>
      <vt:lpstr>3. Financial Projections</vt:lpstr>
      <vt:lpstr>4. Residual Income Valuation</vt:lpstr>
      <vt:lpstr>5.Sensitivity analysis</vt:lpstr>
      <vt:lpstr>6. Methodology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SUBASH R</dc:creator>
  <dc:description/>
  <cp:lastModifiedBy>SUBASH R</cp:lastModifiedBy>
  <cp:revision>0</cp:revision>
  <dcterms:created xsi:type="dcterms:W3CDTF">2026-08-14T06:14:38Z</dcterms:created>
  <dcterms:modified xsi:type="dcterms:W3CDTF">2026-09-03T18:39:49Z</dcterms:modified>
  <dc:language>en-US</dc:language>
</cp:coreProperties>
</file>