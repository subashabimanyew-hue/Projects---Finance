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Tier_Criteria" sheetId="2" state="visible" r:id="rId4"/>
    <sheet name="Customer_Data" sheetId="3" state="visible" r:id="rId5"/>
    <sheet name="Segmentation_Model" sheetId="4" state="visible" r:id="rId6"/>
    <sheet name="Dashboard"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<sst xmlns="http://schemas.openxmlformats.org/spreadsheetml/2006/main" count="412" uniqueCount="174">
  <si>
    <t xml:space="preserve">Bank to Wealth: Mass-Affluent to HNI Migration Funnel — Wealth-Tier Segmentation Model</t>
  </si>
  <si>
    <t xml:space="preserve">PURPOSE</t>
  </si>
  <si>
    <t xml:space="preserve">This model simulates how a retail bank (case study: HDFC Bank-style wealth tiers) identifies which of its existing retail customers should be migrated into wealth management / priority banking coverage — the critical first stage of the Bank-to-Wealth cross-sell funnel.</t>
  </si>
  <si>
    <t xml:space="preserve">HOW TO USE THIS WORKBOOK</t>
  </si>
  <si>
    <t xml:space="preserve">1. Tier_Criteria (yellow cells) — the scoring weights and benchmarks. Change these to run new scenarios.</t>
  </si>
  <si>
    <t xml:space="preserve">2. Customer_Data — 80 synthetic retail customers with banking behaviour signals (proxy for a bank's CRM extract).</t>
  </si>
  <si>
    <t xml:space="preserve">3. Segmentation_Model — computes a 0-100 Wealth Score per customer and assigns a tier automatically.</t>
  </si>
  <si>
    <t xml:space="preserve">4. Dashboard — tier distribution, AUM concentration, and cross-sell priority flags for the RM handoff.</t>
  </si>
  <si>
    <t xml:space="preserve">METHODOLOGY NOTE</t>
  </si>
  <si>
    <t xml:space="preserve">Real banks (HDFC Imperia, ICICI Private Banking, Kotak Privy League, Axis Burgundy) use proprietary scoring combining AUM, relationship value, and product depth. This model replicates that logic using five publicly reasoned signals: Average Monthly Balance, Annual Income (via salary credits), Product Holding Breadth, Digital Engagement, and Credit Card Spend. Weights and benchmarks are stated assumptions (yellow cells), documented so they can be defended or adjusted in an interview.</t>
  </si>
  <si>
    <t xml:space="preserve">All customer data in this workbook is SYNTHETIC, generated for illustrative purposes only.</t>
  </si>
  <si>
    <t xml:space="preserve">Legend</t>
  </si>
  <si>
    <t xml:space="preserve">Yellow fill</t>
  </si>
  <si>
    <t xml:space="preserve">Editable input / assumption</t>
  </si>
  <si>
    <t xml:space="preserve">Blue font</t>
  </si>
  <si>
    <t xml:space="preserve">Hardcoded input value</t>
  </si>
  <si>
    <t xml:space="preserve">Black font</t>
  </si>
  <si>
    <t xml:space="preserve">Formula (do not hardcode)</t>
  </si>
  <si>
    <t xml:space="preserve">Green font</t>
  </si>
  <si>
    <t xml:space="preserve">Link to another sheet</t>
  </si>
  <si>
    <t xml:space="preserve">Scoring Assumptions (edit yellow cells to run new scenarios)</t>
  </si>
  <si>
    <t xml:space="preserve">1. Weighted Scoring Factors</t>
  </si>
  <si>
    <t xml:space="preserve">Metric</t>
  </si>
  <si>
    <t xml:space="preserve">Weight</t>
  </si>
  <si>
    <t xml:space="preserve">Benchmark (= 100 score)</t>
  </si>
  <si>
    <t xml:space="preserve">Notes</t>
  </si>
  <si>
    <t xml:space="preserve">Avg Monthly Balance (AMB)</t>
  </si>
  <si>
    <t xml:space="preserve">₹20L AMB benchmarked to HDFC Imperia entry AUM level</t>
  </si>
  <si>
    <t xml:space="preserve">Annual Income (Salary Credit x 12)</t>
  </si>
  <si>
    <t xml:space="preserve">₹36L p.a. proxies mass-affluent income bracket</t>
  </si>
  <si>
    <t xml:space="preserve">Product Holding Breadth</t>
  </si>
  <si>
    <t xml:space="preserve">Max of 6 tracked products (SB, FD, CC, Loan, Insurance, MF)</t>
  </si>
  <si>
    <t xml:space="preserve">Digital Engagement Score</t>
  </si>
  <si>
    <t xml:space="preserve">Already scored 0-100 in Customer_Data; benchmark = ceiling</t>
  </si>
  <si>
    <t xml:space="preserve">Credit Card Monthly Spend</t>
  </si>
  <si>
    <t xml:space="preserve">₹1.5L/month spend benchmarked to super-premium card tier</t>
  </si>
  <si>
    <t xml:space="preserve">Total Weight (must equal 100%)</t>
  </si>
  <si>
    <t xml:space="preserve">2. Wealth Tier Thresholds (Weighted Score out of 100)</t>
  </si>
  <si>
    <t xml:space="preserve">Tier</t>
  </si>
  <si>
    <t xml:space="preserve">Min Score</t>
  </si>
  <si>
    <t xml:space="preserve">Max Score</t>
  </si>
  <si>
    <t xml:space="preserve">Mass</t>
  </si>
  <si>
    <t xml:space="preserve">Standard retail banking coverage</t>
  </si>
  <si>
    <t xml:space="preserve">Mass Affluent</t>
  </si>
  <si>
    <t xml:space="preserve">Priority banking / entry-level RM coverage</t>
  </si>
  <si>
    <t xml:space="preserve">HNI</t>
  </si>
  <si>
    <t xml:space="preserve">Dedicated Relationship Manager, wealth product access</t>
  </si>
  <si>
    <t xml:space="preserve">UHNI</t>
  </si>
  <si>
    <t xml:space="preserve">Private banking desk, bespoke portfolio &amp; AIF access</t>
  </si>
  <si>
    <t xml:space="preserve">Customer_Data — Synthetic Retail Banking CRM Extract (n = 80)</t>
  </si>
  <si>
    <t xml:space="preserve">Customer_ID</t>
  </si>
  <si>
    <t xml:space="preserve">Age</t>
  </si>
  <si>
    <t xml:space="preserve">Occupation</t>
  </si>
  <si>
    <t xml:space="preserve">City_Tier</t>
  </si>
  <si>
    <t xml:space="preserve">Tenure_Years</t>
  </si>
  <si>
    <t xml:space="preserve">Avg_Monthly_Balance (₹)</t>
  </si>
  <si>
    <t xml:space="preserve">Annual_Salary_Credit (₹)</t>
  </si>
  <si>
    <t xml:space="preserve">Num_Existing_Products</t>
  </si>
  <si>
    <t xml:space="preserve">Has_Investment_Product (Y/N)</t>
  </si>
  <si>
    <t xml:space="preserve">Digital_Engagement_Score (0-100)</t>
  </si>
  <si>
    <t xml:space="preserve">Credit_Card_Spend_Monthly (₹)</t>
  </si>
  <si>
    <t xml:space="preserve">CUST-1001</t>
  </si>
  <si>
    <t xml:space="preserve">Business Owner</t>
  </si>
  <si>
    <t xml:space="preserve">Metro</t>
  </si>
  <si>
    <t xml:space="preserve">N</t>
  </si>
  <si>
    <t xml:space="preserve">CUST-1002</t>
  </si>
  <si>
    <t xml:space="preserve">Professional</t>
  </si>
  <si>
    <t xml:space="preserve">Y</t>
  </si>
  <si>
    <t xml:space="preserve">CUST-1003</t>
  </si>
  <si>
    <t xml:space="preserve">Retired</t>
  </si>
  <si>
    <t xml:space="preserve">Tier 1</t>
  </si>
  <si>
    <t xml:space="preserve">CUST-1004</t>
  </si>
  <si>
    <t xml:space="preserve">CUST-1005</t>
  </si>
  <si>
    <t xml:space="preserve">CUST-1006</t>
  </si>
  <si>
    <t xml:space="preserve">Tier 2</t>
  </si>
  <si>
    <t xml:space="preserve">CUST-1007</t>
  </si>
  <si>
    <t xml:space="preserve">CUST-1008</t>
  </si>
  <si>
    <t xml:space="preserve">Salaried</t>
  </si>
  <si>
    <t xml:space="preserve">CUST-1009</t>
  </si>
  <si>
    <t xml:space="preserve">CUST-1010</t>
  </si>
  <si>
    <t xml:space="preserve">CUST-1011</t>
  </si>
  <si>
    <t xml:space="preserve">CUST-1012</t>
  </si>
  <si>
    <t xml:space="preserve">CUST-1013</t>
  </si>
  <si>
    <t xml:space="preserve">CUST-1014</t>
  </si>
  <si>
    <t xml:space="preserve">CUST-1015</t>
  </si>
  <si>
    <t xml:space="preserve">Self-Employed</t>
  </si>
  <si>
    <t xml:space="preserve">CUST-1016</t>
  </si>
  <si>
    <t xml:space="preserve">CUST-1017</t>
  </si>
  <si>
    <t xml:space="preserve">CUST-1018</t>
  </si>
  <si>
    <t xml:space="preserve">CUST-1019</t>
  </si>
  <si>
    <t xml:space="preserve">CUST-1020</t>
  </si>
  <si>
    <t xml:space="preserve">CUST-1021</t>
  </si>
  <si>
    <t xml:space="preserve">CUST-1022</t>
  </si>
  <si>
    <t xml:space="preserve">CUST-1023</t>
  </si>
  <si>
    <t xml:space="preserve">CUST-1024</t>
  </si>
  <si>
    <t xml:space="preserve">CUST-1025</t>
  </si>
  <si>
    <t xml:space="preserve">CUST-1026</t>
  </si>
  <si>
    <t xml:space="preserve">CUST-1027</t>
  </si>
  <si>
    <t xml:space="preserve">CUST-1028</t>
  </si>
  <si>
    <t xml:space="preserve">CUST-1029</t>
  </si>
  <si>
    <t xml:space="preserve">CUST-1030</t>
  </si>
  <si>
    <t xml:space="preserve">CUST-1031</t>
  </si>
  <si>
    <t xml:space="preserve">CUST-1032</t>
  </si>
  <si>
    <t xml:space="preserve">CUST-1033</t>
  </si>
  <si>
    <t xml:space="preserve">CUST-1034</t>
  </si>
  <si>
    <t xml:space="preserve">CUST-1035</t>
  </si>
  <si>
    <t xml:space="preserve">CUST-1036</t>
  </si>
  <si>
    <t xml:space="preserve">CUST-1037</t>
  </si>
  <si>
    <t xml:space="preserve">CUST-1038</t>
  </si>
  <si>
    <t xml:space="preserve">CUST-1039</t>
  </si>
  <si>
    <t xml:space="preserve">CUST-1040</t>
  </si>
  <si>
    <t xml:space="preserve">CUST-1041</t>
  </si>
  <si>
    <t xml:space="preserve">CUST-1042</t>
  </si>
  <si>
    <t xml:space="preserve">CUST-1043</t>
  </si>
  <si>
    <t xml:space="preserve">CUST-1044</t>
  </si>
  <si>
    <t xml:space="preserve">CUST-1045</t>
  </si>
  <si>
    <t xml:space="preserve">CUST-1046</t>
  </si>
  <si>
    <t xml:space="preserve">CUST-1047</t>
  </si>
  <si>
    <t xml:space="preserve">CUST-1048</t>
  </si>
  <si>
    <t xml:space="preserve">CUST-1049</t>
  </si>
  <si>
    <t xml:space="preserve">CUST-1050</t>
  </si>
  <si>
    <t xml:space="preserve">CUST-1051</t>
  </si>
  <si>
    <t xml:space="preserve">CUST-1052</t>
  </si>
  <si>
    <t xml:space="preserve">CUST-1053</t>
  </si>
  <si>
    <t xml:space="preserve">CUST-1054</t>
  </si>
  <si>
    <t xml:space="preserve">CUST-1055</t>
  </si>
  <si>
    <t xml:space="preserve">CUST-1056</t>
  </si>
  <si>
    <t xml:space="preserve">CUST-1057</t>
  </si>
  <si>
    <t xml:space="preserve">CUST-1058</t>
  </si>
  <si>
    <t xml:space="preserve">CUST-1059</t>
  </si>
  <si>
    <t xml:space="preserve">CUST-1060</t>
  </si>
  <si>
    <t xml:space="preserve">CUST-1061</t>
  </si>
  <si>
    <t xml:space="preserve">CUST-1062</t>
  </si>
  <si>
    <t xml:space="preserve">CUST-1063</t>
  </si>
  <si>
    <t xml:space="preserve">CUST-1064</t>
  </si>
  <si>
    <t xml:space="preserve">CUST-1065</t>
  </si>
  <si>
    <t xml:space="preserve">CUST-1066</t>
  </si>
  <si>
    <t xml:space="preserve">CUST-1067</t>
  </si>
  <si>
    <t xml:space="preserve">CUST-1068</t>
  </si>
  <si>
    <t xml:space="preserve">CUST-1069</t>
  </si>
  <si>
    <t xml:space="preserve">CUST-1070</t>
  </si>
  <si>
    <t xml:space="preserve">CUST-1071</t>
  </si>
  <si>
    <t xml:space="preserve">CUST-1072</t>
  </si>
  <si>
    <t xml:space="preserve">CUST-1073</t>
  </si>
  <si>
    <t xml:space="preserve">CUST-1074</t>
  </si>
  <si>
    <t xml:space="preserve">CUST-1075</t>
  </si>
  <si>
    <t xml:space="preserve">CUST-1076</t>
  </si>
  <si>
    <t xml:space="preserve">CUST-1077</t>
  </si>
  <si>
    <t xml:space="preserve">CUST-1078</t>
  </si>
  <si>
    <t xml:space="preserve">CUST-1079</t>
  </si>
  <si>
    <t xml:space="preserve">CUST-1080</t>
  </si>
  <si>
    <t xml:space="preserve">Segmentation_Model — Wealth Score Engine &amp; Tier Assignment</t>
  </si>
  <si>
    <t xml:space="preserve">AMB_Score</t>
  </si>
  <si>
    <t xml:space="preserve">Income_Score</t>
  </si>
  <si>
    <t xml:space="preserve">Product_Score</t>
  </si>
  <si>
    <t xml:space="preserve">Digital_Score</t>
  </si>
  <si>
    <t xml:space="preserve">CC_Spend_Score</t>
  </si>
  <si>
    <t xml:space="preserve">Weighted_Wealth_Score</t>
  </si>
  <si>
    <t xml:space="preserve">Wealth_Tier</t>
  </si>
  <si>
    <t xml:space="preserve">Has_Investment_Product</t>
  </si>
  <si>
    <t xml:space="preserve">Cross_Sell_Priority</t>
  </si>
  <si>
    <t xml:space="preserve">Dashboard — Tier Distribution, AUM Concentration &amp; Cross-Sell Priority</t>
  </si>
  <si>
    <t xml:space="preserve">1. Tier Distribution</t>
  </si>
  <si>
    <t xml:space="preserve">Customer Count</t>
  </si>
  <si>
    <t xml:space="preserve">% of Base</t>
  </si>
  <si>
    <t xml:space="preserve">Total AMB (₹)</t>
  </si>
  <si>
    <t xml:space="preserve">Avg AMB (₹)</t>
  </si>
  <si>
    <t xml:space="preserve">Total</t>
  </si>
  <si>
    <t xml:space="preserve">2. Cross-Sell Priority Flags (RM Handoff Queue)</t>
  </si>
  <si>
    <t xml:space="preserve">Priority Flag</t>
  </si>
  <si>
    <t xml:space="preserve">High Priority - No Investment Product</t>
  </si>
  <si>
    <t xml:space="preserve">Medium Priority - Entry Wealth Product</t>
  </si>
  <si>
    <t xml:space="preserve">Standard / Retain</t>
  </si>
  <si>
    <t xml:space="preserve">3. Key Takeaway (auto-generated)</t>
  </si>
</sst>
</file>

<file path=xl/styles.xml><?xml version="1.0" encoding="utf-8"?>
<styleSheet xmlns="http://schemas.openxmlformats.org/spreadsheetml/2006/main">
  <numFmts count="5">
    <numFmt numFmtId="164" formatCode="General"/>
    <numFmt numFmtId="165" formatCode="0%"/>
    <numFmt numFmtId="166" formatCode="#,##0"/>
    <numFmt numFmtId="167" formatCode="0.0"/>
    <numFmt numFmtId="168" formatCode="0.0%"/>
  </numFmts>
  <fonts count="16">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10"/>
      <name val="Arial"/>
      <family val="0"/>
      <charset val="1"/>
    </font>
    <font>
      <b val="true"/>
      <sz val="11"/>
      <color rgb="FF1F4E78"/>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i val="true"/>
      <sz val="9"/>
      <color rgb="FF808080"/>
      <name val="Arial"/>
      <family val="0"/>
      <charset val="1"/>
    </font>
    <font>
      <sz val="10"/>
      <color rgb="FF008000"/>
      <name val="Arial"/>
      <family val="0"/>
      <charset val="1"/>
    </font>
    <font>
      <b val="true"/>
      <i val="true"/>
      <sz val="10"/>
      <color rgb="FF1F4E78"/>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1F4E78"/>
        <bgColor rgb="FF003366"/>
      </patternFill>
    </fill>
    <fill>
      <patternFill patternType="solid">
        <fgColor rgb="FF2E75B6"/>
        <bgColor rgb="FF4F81BD"/>
      </patternFill>
    </fill>
    <fill>
      <patternFill patternType="solid">
        <fgColor rgb="FFFFFF00"/>
        <bgColor rgb="FFFFFF00"/>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6" fontId="9" fillId="4"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C0504D"/>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BBB59"/>
      <rgbColor rgb="FFFFCC00"/>
      <rgbColor rgb="FFFF9900"/>
      <rgbColor rgb="FFFF6600"/>
      <rgbColor rgb="FF8064A2"/>
      <rgbColor rgb="FF878787"/>
      <rgbColor rgb="FF003366"/>
      <rgbColor rgb="FF4F81BD"/>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Customer Count by Wealth Tier</a:t>
            </a:r>
          </a:p>
        </c:rich>
      </c:tx>
      <c:overlay val="0"/>
      <c:spPr>
        <a:noFill/>
        <a:ln w="0">
          <a:noFill/>
        </a:ln>
      </c:spPr>
    </c:title>
    <c:autoTitleDeleted val="0"/>
    <c:plotArea>
      <c:barChart>
        <c:barDir val="col"/>
        <c:grouping val="clustered"/>
        <c:varyColors val="0"/>
        <c:ser>
          <c:idx val="0"/>
          <c:order val="0"/>
          <c:tx>
            <c:strRef>
              <c:f>Dashboard!B4</c:f>
              <c:strCache>
                <c:ptCount val="1"/>
                <c:pt idx="0">
                  <c:v>Customer Count</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Dashboard!$A$5:$A$8</c:f>
              <c:strCache>
                <c:ptCount val="4"/>
                <c:pt idx="0">
                  <c:v>Mass</c:v>
                </c:pt>
                <c:pt idx="1">
                  <c:v>Mass Affluent</c:v>
                </c:pt>
                <c:pt idx="2">
                  <c:v>HNI</c:v>
                </c:pt>
                <c:pt idx="3">
                  <c:v>UHNI</c:v>
                </c:pt>
              </c:strCache>
            </c:strRef>
          </c:cat>
          <c:val>
            <c:numRef>
              <c:f>Dashboard!$B$5:$B$8</c:f>
              <c:numCache>
                <c:formatCode>General</c:formatCode>
                <c:ptCount val="4"/>
                <c:pt idx="0">
                  <c:v>32</c:v>
                </c:pt>
                <c:pt idx="1">
                  <c:v>28</c:v>
                </c:pt>
                <c:pt idx="2">
                  <c:v>18</c:v>
                </c:pt>
                <c:pt idx="3">
                  <c:v>2</c:v>
                </c:pt>
              </c:numCache>
            </c:numRef>
          </c:val>
        </c:ser>
        <c:gapWidth val="150"/>
        <c:overlap val="0"/>
        <c:axId val="77009184"/>
        <c:axId val="58549789"/>
      </c:barChart>
      <c:catAx>
        <c:axId val="7700918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Tier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549789"/>
        <c:crosses val="autoZero"/>
        <c:auto val="1"/>
        <c:lblAlgn val="ctr"/>
        <c:lblOffset val="100"/>
        <c:noMultiLvlLbl val="0"/>
      </c:catAx>
      <c:valAx>
        <c:axId val="5854978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Customers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00918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AMB Concentration by Tier</a:t>
            </a:r>
          </a:p>
        </c:rich>
      </c:tx>
      <c:overlay val="0"/>
      <c:spPr>
        <a:noFill/>
        <a:ln w="0">
          <a:noFill/>
        </a:ln>
      </c:spPr>
    </c:title>
    <c:autoTitleDeleted val="0"/>
    <c:plotArea>
      <c:pieChart>
        <c:varyColors val="1"/>
        <c:ser>
          <c:idx val="0"/>
          <c:order val="0"/>
          <c:tx>
            <c:strRef>
              <c:f>Dashboard!D4</c:f>
              <c:strCache>
                <c:ptCount val="1"/>
                <c:pt idx="0">
                  <c:v>Total AMB (₹)</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dLbl>
              <c:idx val="3"/>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Dashboard!$A$5:$A$8</c:f>
              <c:strCache>
                <c:ptCount val="4"/>
                <c:pt idx="0">
                  <c:v>Mass</c:v>
                </c:pt>
                <c:pt idx="1">
                  <c:v>Mass Affluent</c:v>
                </c:pt>
                <c:pt idx="2">
                  <c:v>HNI</c:v>
                </c:pt>
                <c:pt idx="3">
                  <c:v>UHNI</c:v>
                </c:pt>
              </c:strCache>
            </c:strRef>
          </c:cat>
          <c:val>
            <c:numRef>
              <c:f>Dashboard!$D$5:$D$8</c:f>
              <c:numCache>
                <c:formatCode>#,##0</c:formatCode>
                <c:ptCount val="4"/>
                <c:pt idx="0">
                  <c:v>23059531</c:v>
                </c:pt>
                <c:pt idx="1">
                  <c:v>53189240</c:v>
                </c:pt>
                <c:pt idx="2">
                  <c:v>50238456</c:v>
                </c:pt>
                <c:pt idx="3">
                  <c:v>6863247</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0</xdr:rowOff>
    </xdr:from>
    <xdr:to>
      <xdr:col>15</xdr:col>
      <xdr:colOff>147600</xdr:colOff>
      <xdr:row>17</xdr:row>
      <xdr:rowOff>21960</xdr:rowOff>
    </xdr:to>
    <xdr:graphicFrame>
      <xdr:nvGraphicFramePr>
        <xdr:cNvPr id="0" name="Chart 1"/>
        <xdr:cNvGraphicFramePr/>
      </xdr:nvGraphicFramePr>
      <xdr:xfrm>
        <a:off x="8787600" y="466560"/>
        <a:ext cx="503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19</xdr:row>
      <xdr:rowOff>0</xdr:rowOff>
    </xdr:from>
    <xdr:to>
      <xdr:col>15</xdr:col>
      <xdr:colOff>147600</xdr:colOff>
      <xdr:row>33</xdr:row>
      <xdr:rowOff>21960</xdr:rowOff>
    </xdr:to>
    <xdr:graphicFrame>
      <xdr:nvGraphicFramePr>
        <xdr:cNvPr id="1" name="Chart 2"/>
        <xdr:cNvGraphicFramePr/>
      </xdr:nvGraphicFramePr>
      <xdr:xfrm>
        <a:off x="8787600" y="3705120"/>
        <a:ext cx="503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5"/>
    <col collapsed="false" customWidth="true" hidden="false" outlineLevel="0" max="8" min="3" style="0" width="14"/>
  </cols>
  <sheetData>
    <row r="1" customFormat="false" ht="27.75" hidden="false" customHeight="true" outlineLevel="0" collapsed="false">
      <c r="A1" s="1" t="s">
        <v>0</v>
      </c>
      <c r="B1" s="1"/>
      <c r="C1" s="1"/>
      <c r="D1" s="1"/>
      <c r="E1" s="1"/>
      <c r="F1" s="1"/>
      <c r="G1" s="1"/>
      <c r="H1" s="1"/>
    </row>
    <row r="3" customFormat="false" ht="15.75" hidden="false" customHeight="true" outlineLevel="0" collapsed="false">
      <c r="A3" s="2"/>
      <c r="B3" s="2"/>
      <c r="C3" s="2"/>
      <c r="D3" s="2"/>
      <c r="E3" s="2"/>
      <c r="F3" s="2"/>
      <c r="G3" s="2"/>
      <c r="H3" s="2"/>
    </row>
    <row r="4" customFormat="false" ht="15" hidden="false" customHeight="false" outlineLevel="0" collapsed="false">
      <c r="A4" s="3" t="s">
        <v>1</v>
      </c>
    </row>
    <row r="5" customFormat="false" ht="30" hidden="false" customHeight="true" outlineLevel="0" collapsed="false">
      <c r="A5" s="2" t="s">
        <v>2</v>
      </c>
      <c r="B5" s="2"/>
      <c r="C5" s="2"/>
      <c r="D5" s="2"/>
      <c r="E5" s="2"/>
      <c r="F5" s="2"/>
      <c r="G5" s="2"/>
      <c r="H5" s="2"/>
    </row>
    <row r="6" customFormat="false" ht="15.75" hidden="false" customHeight="true" outlineLevel="0" collapsed="false">
      <c r="A6" s="2"/>
      <c r="B6" s="2"/>
      <c r="C6" s="2"/>
      <c r="D6" s="2"/>
      <c r="E6" s="2"/>
      <c r="F6" s="2"/>
      <c r="G6" s="2"/>
      <c r="H6" s="2"/>
    </row>
    <row r="7" customFormat="false" ht="15" hidden="false" customHeight="false" outlineLevel="0" collapsed="false">
      <c r="A7" s="3" t="s">
        <v>3</v>
      </c>
    </row>
    <row r="8" customFormat="false" ht="30" hidden="false" customHeight="true" outlineLevel="0" collapsed="false">
      <c r="A8" s="2" t="s">
        <v>4</v>
      </c>
      <c r="B8" s="2"/>
      <c r="C8" s="2"/>
      <c r="D8" s="2"/>
      <c r="E8" s="2"/>
      <c r="F8" s="2"/>
      <c r="G8" s="2"/>
      <c r="H8" s="2"/>
    </row>
    <row r="9" customFormat="false" ht="30" hidden="false" customHeight="true" outlineLevel="0" collapsed="false">
      <c r="A9" s="2" t="s">
        <v>5</v>
      </c>
      <c r="B9" s="2"/>
      <c r="C9" s="2"/>
      <c r="D9" s="2"/>
      <c r="E9" s="2"/>
      <c r="F9" s="2"/>
      <c r="G9" s="2"/>
      <c r="H9" s="2"/>
    </row>
    <row r="10" customFormat="false" ht="30" hidden="false" customHeight="true" outlineLevel="0" collapsed="false">
      <c r="A10" s="2" t="s">
        <v>6</v>
      </c>
      <c r="B10" s="2"/>
      <c r="C10" s="2"/>
      <c r="D10" s="2"/>
      <c r="E10" s="2"/>
      <c r="F10" s="2"/>
      <c r="G10" s="2"/>
      <c r="H10" s="2"/>
    </row>
    <row r="11" customFormat="false" ht="30" hidden="false" customHeight="true" outlineLevel="0" collapsed="false">
      <c r="A11" s="2" t="s">
        <v>7</v>
      </c>
      <c r="B11" s="2"/>
      <c r="C11" s="2"/>
      <c r="D11" s="2"/>
      <c r="E11" s="2"/>
      <c r="F11" s="2"/>
      <c r="G11" s="2"/>
      <c r="H11" s="2"/>
    </row>
    <row r="12" customFormat="false" ht="15.75" hidden="false" customHeight="true" outlineLevel="0" collapsed="false">
      <c r="A12" s="2"/>
      <c r="B12" s="2"/>
      <c r="C12" s="2"/>
      <c r="D12" s="2"/>
      <c r="E12" s="2"/>
      <c r="F12" s="2"/>
      <c r="G12" s="2"/>
      <c r="H12" s="2"/>
    </row>
    <row r="13" customFormat="false" ht="15" hidden="false" customHeight="false" outlineLevel="0" collapsed="false">
      <c r="A13" s="3" t="s">
        <v>8</v>
      </c>
    </row>
    <row r="14" customFormat="false" ht="30" hidden="false" customHeight="true" outlineLevel="0" collapsed="false">
      <c r="A14" s="2" t="s">
        <v>9</v>
      </c>
      <c r="B14" s="2"/>
      <c r="C14" s="2"/>
      <c r="D14" s="2"/>
      <c r="E14" s="2"/>
      <c r="F14" s="2"/>
      <c r="G14" s="2"/>
      <c r="H14" s="2"/>
    </row>
    <row r="15" customFormat="false" ht="15.75" hidden="false" customHeight="true" outlineLevel="0" collapsed="false">
      <c r="A15" s="2"/>
      <c r="B15" s="2"/>
      <c r="C15" s="2"/>
      <c r="D15" s="2"/>
      <c r="E15" s="2"/>
      <c r="F15" s="2"/>
      <c r="G15" s="2"/>
      <c r="H15" s="2"/>
    </row>
    <row r="16" customFormat="false" ht="15.75" hidden="false" customHeight="true" outlineLevel="0" collapsed="false">
      <c r="A16" s="2" t="s">
        <v>10</v>
      </c>
      <c r="B16" s="2"/>
      <c r="C16" s="2"/>
      <c r="D16" s="2"/>
      <c r="E16" s="2"/>
      <c r="F16" s="2"/>
      <c r="G16" s="2"/>
      <c r="H16" s="2"/>
    </row>
    <row r="18" customFormat="false" ht="15" hidden="false" customHeight="false" outlineLevel="0" collapsed="false">
      <c r="A18" s="3" t="s">
        <v>11</v>
      </c>
    </row>
    <row r="19" customFormat="false" ht="15" hidden="false" customHeight="false" outlineLevel="0" collapsed="false">
      <c r="A19" s="4" t="s">
        <v>12</v>
      </c>
      <c r="B19" s="5" t="s">
        <v>13</v>
      </c>
    </row>
    <row r="20" customFormat="false" ht="15" hidden="false" customHeight="false" outlineLevel="0" collapsed="false">
      <c r="A20" s="4" t="s">
        <v>14</v>
      </c>
      <c r="B20" s="5" t="s">
        <v>15</v>
      </c>
    </row>
    <row r="21" customFormat="false" ht="15" hidden="false" customHeight="false" outlineLevel="0" collapsed="false">
      <c r="A21" s="4" t="s">
        <v>16</v>
      </c>
      <c r="B21" s="5" t="s">
        <v>17</v>
      </c>
    </row>
    <row r="22" customFormat="false" ht="15" hidden="false" customHeight="false" outlineLevel="0" collapsed="false">
      <c r="A22" s="4" t="s">
        <v>18</v>
      </c>
      <c r="B22" s="5" t="s">
        <v>19</v>
      </c>
    </row>
  </sheetData>
  <mergeCells count="12">
    <mergeCell ref="A1:H1"/>
    <mergeCell ref="A3:H3"/>
    <mergeCell ref="A5:H5"/>
    <mergeCell ref="A6:H6"/>
    <mergeCell ref="A8:H8"/>
    <mergeCell ref="A9:H9"/>
    <mergeCell ref="A10:H10"/>
    <mergeCell ref="A11:H11"/>
    <mergeCell ref="A12:H12"/>
    <mergeCell ref="A14:H14"/>
    <mergeCell ref="A15:H15"/>
    <mergeCell ref="A16:H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4"/>
    <col collapsed="false" customWidth="true" hidden="false" outlineLevel="0" max="3" min="3" style="0" width="20"/>
    <col collapsed="false" customWidth="true" hidden="false" outlineLevel="0" max="4" min="4" style="0" width="55"/>
  </cols>
  <sheetData>
    <row r="1" customFormat="false" ht="21.75" hidden="false" customHeight="true" outlineLevel="0" collapsed="false">
      <c r="A1" s="1" t="s">
        <v>20</v>
      </c>
      <c r="B1" s="1"/>
      <c r="C1" s="1"/>
      <c r="D1" s="1"/>
    </row>
    <row r="3" customFormat="false" ht="15" hidden="false" customHeight="false" outlineLevel="0" collapsed="false">
      <c r="A3" s="3" t="s">
        <v>21</v>
      </c>
    </row>
    <row r="4" customFormat="false" ht="23.85" hidden="false" customHeight="false" outlineLevel="0" collapsed="false">
      <c r="A4" s="6" t="s">
        <v>22</v>
      </c>
      <c r="B4" s="6" t="s">
        <v>23</v>
      </c>
      <c r="C4" s="6" t="s">
        <v>24</v>
      </c>
      <c r="D4" s="6" t="s">
        <v>25</v>
      </c>
    </row>
    <row r="5" customFormat="false" ht="15" hidden="false" customHeight="false" outlineLevel="0" collapsed="false">
      <c r="A5" s="7" t="s">
        <v>26</v>
      </c>
      <c r="B5" s="8" t="n">
        <v>0.35</v>
      </c>
      <c r="C5" s="9" t="n">
        <v>2000000</v>
      </c>
      <c r="D5" s="10" t="s">
        <v>27</v>
      </c>
    </row>
    <row r="6" customFormat="false" ht="15" hidden="false" customHeight="false" outlineLevel="0" collapsed="false">
      <c r="A6" s="7" t="s">
        <v>28</v>
      </c>
      <c r="B6" s="8" t="n">
        <v>0.25</v>
      </c>
      <c r="C6" s="9" t="n">
        <v>3600000</v>
      </c>
      <c r="D6" s="10" t="s">
        <v>29</v>
      </c>
    </row>
    <row r="7" customFormat="false" ht="15" hidden="false" customHeight="false" outlineLevel="0" collapsed="false">
      <c r="A7" s="7" t="s">
        <v>30</v>
      </c>
      <c r="B7" s="8" t="n">
        <v>0.15</v>
      </c>
      <c r="C7" s="9" t="n">
        <v>6</v>
      </c>
      <c r="D7" s="10" t="s">
        <v>31</v>
      </c>
    </row>
    <row r="8" customFormat="false" ht="15" hidden="false" customHeight="false" outlineLevel="0" collapsed="false">
      <c r="A8" s="7" t="s">
        <v>32</v>
      </c>
      <c r="B8" s="8" t="n">
        <v>0.1</v>
      </c>
      <c r="C8" s="9" t="n">
        <v>100</v>
      </c>
      <c r="D8" s="10" t="s">
        <v>33</v>
      </c>
    </row>
    <row r="9" customFormat="false" ht="15" hidden="false" customHeight="false" outlineLevel="0" collapsed="false">
      <c r="A9" s="7" t="s">
        <v>34</v>
      </c>
      <c r="B9" s="8" t="n">
        <v>0.15</v>
      </c>
      <c r="C9" s="9" t="n">
        <v>150000</v>
      </c>
      <c r="D9" s="10" t="s">
        <v>35</v>
      </c>
    </row>
    <row r="10" customFormat="false" ht="15" hidden="false" customHeight="false" outlineLevel="0" collapsed="false">
      <c r="A10" s="11" t="s">
        <v>36</v>
      </c>
      <c r="B10" s="12" t="n">
        <f aca="false">SUM(B5:B9)</f>
        <v>1</v>
      </c>
      <c r="C10" s="13"/>
      <c r="D10" s="13"/>
    </row>
    <row r="13" customFormat="false" ht="15" hidden="false" customHeight="false" outlineLevel="0" collapsed="false">
      <c r="A13" s="3" t="s">
        <v>37</v>
      </c>
    </row>
    <row r="14" customFormat="false" ht="15" hidden="false" customHeight="false" outlineLevel="0" collapsed="false">
      <c r="A14" s="6" t="s">
        <v>38</v>
      </c>
      <c r="B14" s="6" t="s">
        <v>39</v>
      </c>
      <c r="C14" s="6" t="s">
        <v>40</v>
      </c>
      <c r="D14" s="6" t="s">
        <v>25</v>
      </c>
    </row>
    <row r="15" customFormat="false" ht="15" hidden="false" customHeight="false" outlineLevel="0" collapsed="false">
      <c r="A15" s="7" t="s">
        <v>41</v>
      </c>
      <c r="B15" s="14" t="n">
        <v>0</v>
      </c>
      <c r="C15" s="14" t="n">
        <v>39.99</v>
      </c>
      <c r="D15" s="10" t="s">
        <v>42</v>
      </c>
    </row>
    <row r="16" customFormat="false" ht="15" hidden="false" customHeight="false" outlineLevel="0" collapsed="false">
      <c r="A16" s="7" t="s">
        <v>43</v>
      </c>
      <c r="B16" s="14" t="n">
        <v>40</v>
      </c>
      <c r="C16" s="14" t="n">
        <v>64.99</v>
      </c>
      <c r="D16" s="10" t="s">
        <v>44</v>
      </c>
    </row>
    <row r="17" customFormat="false" ht="15" hidden="false" customHeight="false" outlineLevel="0" collapsed="false">
      <c r="A17" s="7" t="s">
        <v>45</v>
      </c>
      <c r="B17" s="14" t="n">
        <v>65</v>
      </c>
      <c r="C17" s="14" t="n">
        <v>84.99</v>
      </c>
      <c r="D17" s="10" t="s">
        <v>46</v>
      </c>
    </row>
    <row r="18" customFormat="false" ht="15" hidden="false" customHeight="false" outlineLevel="0" collapsed="false">
      <c r="A18" s="7" t="s">
        <v>47</v>
      </c>
      <c r="B18" s="14" t="n">
        <v>85</v>
      </c>
      <c r="C18" s="14" t="n">
        <v>100</v>
      </c>
      <c r="D18" s="10" t="s">
        <v>48</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
    <col collapsed="false" customWidth="true" hidden="false" outlineLevel="0" max="3" min="3" style="0" width="14"/>
    <col collapsed="false" customWidth="true" hidden="false" outlineLevel="0" max="4" min="4" style="0" width="10"/>
    <col collapsed="false" customWidth="true" hidden="false" outlineLevel="0" max="5" min="5" style="0" width="12"/>
    <col collapsed="false" customWidth="true" hidden="false" outlineLevel="0" max="7" min="6" style="0" width="20"/>
    <col collapsed="false" customWidth="true" hidden="false" outlineLevel="0" max="8" min="8" style="0" width="18"/>
    <col collapsed="false" customWidth="true" hidden="false" outlineLevel="0" max="10" min="9" style="0" width="22"/>
    <col collapsed="false" customWidth="true" hidden="false" outlineLevel="0" max="11" min="11" style="0" width="20"/>
  </cols>
  <sheetData>
    <row r="1" customFormat="false" ht="21.75" hidden="false" customHeight="true" outlineLevel="0" collapsed="false">
      <c r="A1" s="1" t="s">
        <v>49</v>
      </c>
      <c r="B1" s="1"/>
      <c r="C1" s="1"/>
      <c r="D1" s="1"/>
      <c r="E1" s="1"/>
      <c r="F1" s="1"/>
      <c r="G1" s="1"/>
      <c r="H1" s="1"/>
      <c r="I1" s="1"/>
      <c r="J1" s="1"/>
      <c r="K1" s="1"/>
    </row>
    <row r="3" customFormat="false" ht="23.85" hidden="false" customHeight="false" outlineLevel="0" collapsed="false">
      <c r="A3" s="6" t="s">
        <v>50</v>
      </c>
      <c r="B3" s="6" t="s">
        <v>51</v>
      </c>
      <c r="C3" s="6" t="s">
        <v>52</v>
      </c>
      <c r="D3" s="6" t="s">
        <v>53</v>
      </c>
      <c r="E3" s="6" t="s">
        <v>54</v>
      </c>
      <c r="F3" s="6" t="s">
        <v>55</v>
      </c>
      <c r="G3" s="6" t="s">
        <v>56</v>
      </c>
      <c r="H3" s="6" t="s">
        <v>57</v>
      </c>
      <c r="I3" s="6" t="s">
        <v>58</v>
      </c>
      <c r="J3" s="6" t="s">
        <v>59</v>
      </c>
      <c r="K3" s="6" t="s">
        <v>60</v>
      </c>
    </row>
    <row r="4" customFormat="false" ht="15" hidden="false" customHeight="false" outlineLevel="0" collapsed="false">
      <c r="A4" s="15" t="s">
        <v>61</v>
      </c>
      <c r="B4" s="15" t="n">
        <v>27</v>
      </c>
      <c r="C4" s="15" t="s">
        <v>62</v>
      </c>
      <c r="D4" s="15" t="s">
        <v>63</v>
      </c>
      <c r="E4" s="16" t="n">
        <v>13.5</v>
      </c>
      <c r="F4" s="17" t="n">
        <v>1870754</v>
      </c>
      <c r="G4" s="17" t="n">
        <v>1609117</v>
      </c>
      <c r="H4" s="15" t="n">
        <v>1</v>
      </c>
      <c r="I4" s="15" t="s">
        <v>64</v>
      </c>
      <c r="J4" s="15" t="n">
        <v>29</v>
      </c>
      <c r="K4" s="17" t="n">
        <v>45416</v>
      </c>
    </row>
    <row r="5" customFormat="false" ht="15" hidden="false" customHeight="false" outlineLevel="0" collapsed="false">
      <c r="A5" s="15" t="s">
        <v>65</v>
      </c>
      <c r="B5" s="15" t="n">
        <v>61</v>
      </c>
      <c r="C5" s="15" t="s">
        <v>66</v>
      </c>
      <c r="D5" s="15" t="s">
        <v>63</v>
      </c>
      <c r="E5" s="16" t="n">
        <v>4</v>
      </c>
      <c r="F5" s="17" t="n">
        <v>3484524</v>
      </c>
      <c r="G5" s="17" t="n">
        <v>1293485</v>
      </c>
      <c r="H5" s="15" t="n">
        <v>4</v>
      </c>
      <c r="I5" s="15" t="s">
        <v>67</v>
      </c>
      <c r="J5" s="15" t="n">
        <v>52</v>
      </c>
      <c r="K5" s="17" t="n">
        <v>63945</v>
      </c>
    </row>
    <row r="6" customFormat="false" ht="15" hidden="false" customHeight="false" outlineLevel="0" collapsed="false">
      <c r="A6" s="15" t="s">
        <v>68</v>
      </c>
      <c r="B6" s="15" t="n">
        <v>32</v>
      </c>
      <c r="C6" s="15" t="s">
        <v>69</v>
      </c>
      <c r="D6" s="15" t="s">
        <v>70</v>
      </c>
      <c r="E6" s="16" t="n">
        <v>2.1</v>
      </c>
      <c r="F6" s="17" t="n">
        <v>620338</v>
      </c>
      <c r="G6" s="17" t="n">
        <v>0</v>
      </c>
      <c r="H6" s="15" t="n">
        <v>1</v>
      </c>
      <c r="I6" s="15" t="s">
        <v>64</v>
      </c>
      <c r="J6" s="15" t="n">
        <v>37</v>
      </c>
      <c r="K6" s="17" t="n">
        <v>15425</v>
      </c>
    </row>
    <row r="7" customFormat="false" ht="15" hidden="false" customHeight="false" outlineLevel="0" collapsed="false">
      <c r="A7" s="15" t="s">
        <v>71</v>
      </c>
      <c r="B7" s="15" t="n">
        <v>65</v>
      </c>
      <c r="C7" s="15" t="s">
        <v>66</v>
      </c>
      <c r="D7" s="15" t="s">
        <v>70</v>
      </c>
      <c r="E7" s="16" t="n">
        <v>16</v>
      </c>
      <c r="F7" s="17" t="n">
        <v>2969312</v>
      </c>
      <c r="G7" s="17" t="n">
        <v>2877620</v>
      </c>
      <c r="H7" s="15" t="n">
        <v>4</v>
      </c>
      <c r="I7" s="15" t="s">
        <v>64</v>
      </c>
      <c r="J7" s="15" t="n">
        <v>47</v>
      </c>
      <c r="K7" s="17" t="n">
        <v>77088</v>
      </c>
    </row>
    <row r="8" customFormat="false" ht="15" hidden="false" customHeight="false" outlineLevel="0" collapsed="false">
      <c r="A8" s="15" t="s">
        <v>72</v>
      </c>
      <c r="B8" s="15" t="n">
        <v>36</v>
      </c>
      <c r="C8" s="15" t="s">
        <v>69</v>
      </c>
      <c r="D8" s="15" t="s">
        <v>70</v>
      </c>
      <c r="E8" s="16" t="n">
        <v>7</v>
      </c>
      <c r="F8" s="17" t="n">
        <v>980754</v>
      </c>
      <c r="G8" s="17" t="n">
        <v>0</v>
      </c>
      <c r="H8" s="15" t="n">
        <v>1</v>
      </c>
      <c r="I8" s="15" t="s">
        <v>64</v>
      </c>
      <c r="J8" s="15" t="n">
        <v>23</v>
      </c>
      <c r="K8" s="17" t="n">
        <v>39252</v>
      </c>
    </row>
    <row r="9" customFormat="false" ht="15" hidden="false" customHeight="false" outlineLevel="0" collapsed="false">
      <c r="A9" s="15" t="s">
        <v>73</v>
      </c>
      <c r="B9" s="15" t="n">
        <v>40</v>
      </c>
      <c r="C9" s="15" t="s">
        <v>62</v>
      </c>
      <c r="D9" s="15" t="s">
        <v>74</v>
      </c>
      <c r="E9" s="16" t="n">
        <v>12.5</v>
      </c>
      <c r="F9" s="17" t="n">
        <v>3132626</v>
      </c>
      <c r="G9" s="17" t="n">
        <v>2406085</v>
      </c>
      <c r="H9" s="15" t="n">
        <v>4</v>
      </c>
      <c r="I9" s="15" t="s">
        <v>64</v>
      </c>
      <c r="J9" s="15" t="n">
        <v>81</v>
      </c>
      <c r="K9" s="17" t="n">
        <v>101303</v>
      </c>
    </row>
    <row r="10" customFormat="false" ht="15" hidden="false" customHeight="false" outlineLevel="0" collapsed="false">
      <c r="A10" s="15" t="s">
        <v>75</v>
      </c>
      <c r="B10" s="15" t="n">
        <v>51</v>
      </c>
      <c r="C10" s="15" t="s">
        <v>62</v>
      </c>
      <c r="D10" s="15" t="s">
        <v>70</v>
      </c>
      <c r="E10" s="16" t="n">
        <v>16</v>
      </c>
      <c r="F10" s="17" t="n">
        <v>3138671</v>
      </c>
      <c r="G10" s="17" t="n">
        <v>3062460</v>
      </c>
      <c r="H10" s="15" t="n">
        <v>3</v>
      </c>
      <c r="I10" s="15" t="s">
        <v>67</v>
      </c>
      <c r="J10" s="15" t="n">
        <v>56</v>
      </c>
      <c r="K10" s="17" t="n">
        <v>144847</v>
      </c>
    </row>
    <row r="11" customFormat="false" ht="15" hidden="false" customHeight="false" outlineLevel="0" collapsed="false">
      <c r="A11" s="15" t="s">
        <v>76</v>
      </c>
      <c r="B11" s="15" t="n">
        <v>57</v>
      </c>
      <c r="C11" s="15" t="s">
        <v>77</v>
      </c>
      <c r="D11" s="15" t="s">
        <v>74</v>
      </c>
      <c r="E11" s="16" t="n">
        <v>2.1</v>
      </c>
      <c r="F11" s="17" t="n">
        <v>314692</v>
      </c>
      <c r="G11" s="17" t="n">
        <v>300000</v>
      </c>
      <c r="H11" s="15" t="n">
        <v>1</v>
      </c>
      <c r="I11" s="15" t="s">
        <v>64</v>
      </c>
      <c r="J11" s="15" t="n">
        <v>34</v>
      </c>
      <c r="K11" s="17" t="n">
        <v>11361</v>
      </c>
    </row>
    <row r="12" customFormat="false" ht="15" hidden="false" customHeight="false" outlineLevel="0" collapsed="false">
      <c r="A12" s="15" t="s">
        <v>78</v>
      </c>
      <c r="B12" s="15" t="n">
        <v>33</v>
      </c>
      <c r="C12" s="15" t="s">
        <v>66</v>
      </c>
      <c r="D12" s="15" t="s">
        <v>63</v>
      </c>
      <c r="E12" s="16" t="n">
        <v>12.4</v>
      </c>
      <c r="F12" s="17" t="n">
        <v>1502821</v>
      </c>
      <c r="G12" s="17" t="n">
        <v>1254286</v>
      </c>
      <c r="H12" s="15" t="n">
        <v>3</v>
      </c>
      <c r="I12" s="15" t="s">
        <v>64</v>
      </c>
      <c r="J12" s="15" t="n">
        <v>50</v>
      </c>
      <c r="K12" s="17" t="n">
        <v>41318</v>
      </c>
    </row>
    <row r="13" customFormat="false" ht="15" hidden="false" customHeight="false" outlineLevel="0" collapsed="false">
      <c r="A13" s="15" t="s">
        <v>79</v>
      </c>
      <c r="B13" s="15" t="n">
        <v>58</v>
      </c>
      <c r="C13" s="15" t="s">
        <v>66</v>
      </c>
      <c r="D13" s="15" t="s">
        <v>63</v>
      </c>
      <c r="E13" s="16" t="n">
        <v>16.5</v>
      </c>
      <c r="F13" s="17" t="n">
        <v>3069908</v>
      </c>
      <c r="G13" s="17" t="n">
        <v>3063428</v>
      </c>
      <c r="H13" s="15" t="n">
        <v>4</v>
      </c>
      <c r="I13" s="15" t="s">
        <v>67</v>
      </c>
      <c r="J13" s="15" t="n">
        <v>54</v>
      </c>
      <c r="K13" s="17" t="n">
        <v>56263</v>
      </c>
    </row>
    <row r="14" customFormat="false" ht="15" hidden="false" customHeight="false" outlineLevel="0" collapsed="false">
      <c r="A14" s="15" t="s">
        <v>80</v>
      </c>
      <c r="B14" s="15" t="n">
        <v>41</v>
      </c>
      <c r="C14" s="15" t="s">
        <v>77</v>
      </c>
      <c r="D14" s="15" t="s">
        <v>70</v>
      </c>
      <c r="E14" s="16" t="n">
        <v>1.5</v>
      </c>
      <c r="F14" s="17" t="n">
        <v>2884345</v>
      </c>
      <c r="G14" s="17" t="n">
        <v>4471988</v>
      </c>
      <c r="H14" s="15" t="n">
        <v>5</v>
      </c>
      <c r="I14" s="15" t="s">
        <v>67</v>
      </c>
      <c r="J14" s="15" t="n">
        <v>80</v>
      </c>
      <c r="K14" s="17" t="n">
        <v>151665</v>
      </c>
    </row>
    <row r="15" customFormat="false" ht="15" hidden="false" customHeight="false" outlineLevel="0" collapsed="false">
      <c r="A15" s="15" t="s">
        <v>81</v>
      </c>
      <c r="B15" s="15" t="n">
        <v>64</v>
      </c>
      <c r="C15" s="15" t="s">
        <v>77</v>
      </c>
      <c r="D15" s="15" t="s">
        <v>74</v>
      </c>
      <c r="E15" s="16" t="n">
        <v>7.9</v>
      </c>
      <c r="F15" s="17" t="n">
        <v>604058</v>
      </c>
      <c r="G15" s="17" t="n">
        <v>844961</v>
      </c>
      <c r="H15" s="15" t="n">
        <v>2</v>
      </c>
      <c r="I15" s="15" t="s">
        <v>64</v>
      </c>
      <c r="J15" s="15" t="n">
        <v>23</v>
      </c>
      <c r="K15" s="17" t="n">
        <v>23835</v>
      </c>
    </row>
    <row r="16" customFormat="false" ht="15" hidden="false" customHeight="false" outlineLevel="0" collapsed="false">
      <c r="A16" s="15" t="s">
        <v>82</v>
      </c>
      <c r="B16" s="15" t="n">
        <v>40</v>
      </c>
      <c r="C16" s="15" t="s">
        <v>77</v>
      </c>
      <c r="D16" s="15" t="s">
        <v>63</v>
      </c>
      <c r="E16" s="16" t="n">
        <v>1.6</v>
      </c>
      <c r="F16" s="17" t="n">
        <v>260524</v>
      </c>
      <c r="G16" s="17" t="n">
        <v>300000</v>
      </c>
      <c r="H16" s="15" t="n">
        <v>1</v>
      </c>
      <c r="I16" s="15" t="s">
        <v>64</v>
      </c>
      <c r="J16" s="15" t="n">
        <v>5</v>
      </c>
      <c r="K16" s="17" t="n">
        <v>6260</v>
      </c>
    </row>
    <row r="17" customFormat="false" ht="15" hidden="false" customHeight="false" outlineLevel="0" collapsed="false">
      <c r="A17" s="15" t="s">
        <v>83</v>
      </c>
      <c r="B17" s="15" t="n">
        <v>43</v>
      </c>
      <c r="C17" s="15" t="s">
        <v>66</v>
      </c>
      <c r="D17" s="15" t="s">
        <v>63</v>
      </c>
      <c r="E17" s="16" t="n">
        <v>12.2</v>
      </c>
      <c r="F17" s="17" t="n">
        <v>1224665</v>
      </c>
      <c r="G17" s="17" t="n">
        <v>587729</v>
      </c>
      <c r="H17" s="15" t="n">
        <v>1</v>
      </c>
      <c r="I17" s="15" t="s">
        <v>64</v>
      </c>
      <c r="J17" s="15" t="n">
        <v>27</v>
      </c>
      <c r="K17" s="17" t="n">
        <v>30231</v>
      </c>
    </row>
    <row r="18" customFormat="false" ht="15" hidden="false" customHeight="false" outlineLevel="0" collapsed="false">
      <c r="A18" s="15" t="s">
        <v>84</v>
      </c>
      <c r="B18" s="15" t="n">
        <v>32</v>
      </c>
      <c r="C18" s="15" t="s">
        <v>85</v>
      </c>
      <c r="D18" s="15" t="s">
        <v>63</v>
      </c>
      <c r="E18" s="16" t="n">
        <v>1.6</v>
      </c>
      <c r="F18" s="17" t="n">
        <v>3625085</v>
      </c>
      <c r="G18" s="17" t="n">
        <v>1976774</v>
      </c>
      <c r="H18" s="15" t="n">
        <v>3</v>
      </c>
      <c r="I18" s="15" t="s">
        <v>67</v>
      </c>
      <c r="J18" s="15" t="n">
        <v>79</v>
      </c>
      <c r="K18" s="17" t="n">
        <v>72375</v>
      </c>
    </row>
    <row r="19" customFormat="false" ht="15" hidden="false" customHeight="false" outlineLevel="0" collapsed="false">
      <c r="A19" s="15" t="s">
        <v>86</v>
      </c>
      <c r="B19" s="15" t="n">
        <v>32</v>
      </c>
      <c r="C19" s="15" t="s">
        <v>69</v>
      </c>
      <c r="D19" s="15" t="s">
        <v>74</v>
      </c>
      <c r="E19" s="16" t="n">
        <v>1.4</v>
      </c>
      <c r="F19" s="17" t="n">
        <v>1661848</v>
      </c>
      <c r="G19" s="17" t="n">
        <v>0</v>
      </c>
      <c r="H19" s="15" t="n">
        <v>3</v>
      </c>
      <c r="I19" s="15" t="s">
        <v>64</v>
      </c>
      <c r="J19" s="15" t="n">
        <v>35</v>
      </c>
      <c r="K19" s="17" t="n">
        <v>76052</v>
      </c>
    </row>
    <row r="20" customFormat="false" ht="15" hidden="false" customHeight="false" outlineLevel="0" collapsed="false">
      <c r="A20" s="15" t="s">
        <v>87</v>
      </c>
      <c r="B20" s="15" t="n">
        <v>53</v>
      </c>
      <c r="C20" s="15" t="s">
        <v>85</v>
      </c>
      <c r="D20" s="15" t="s">
        <v>70</v>
      </c>
      <c r="E20" s="16" t="n">
        <v>12.7</v>
      </c>
      <c r="F20" s="17" t="n">
        <v>1635510</v>
      </c>
      <c r="G20" s="17" t="n">
        <v>1344180</v>
      </c>
      <c r="H20" s="15" t="n">
        <v>2</v>
      </c>
      <c r="I20" s="15" t="s">
        <v>64</v>
      </c>
      <c r="J20" s="15" t="n">
        <v>34</v>
      </c>
      <c r="K20" s="17" t="n">
        <v>59886</v>
      </c>
    </row>
    <row r="21" customFormat="false" ht="15" hidden="false" customHeight="false" outlineLevel="0" collapsed="false">
      <c r="A21" s="15" t="s">
        <v>88</v>
      </c>
      <c r="B21" s="15" t="n">
        <v>56</v>
      </c>
      <c r="C21" s="15" t="s">
        <v>77</v>
      </c>
      <c r="D21" s="15" t="s">
        <v>74</v>
      </c>
      <c r="E21" s="16" t="n">
        <v>9.3</v>
      </c>
      <c r="F21" s="17" t="n">
        <v>491967</v>
      </c>
      <c r="G21" s="17" t="n">
        <v>785561</v>
      </c>
      <c r="H21" s="15" t="n">
        <v>1</v>
      </c>
      <c r="I21" s="15" t="s">
        <v>64</v>
      </c>
      <c r="J21" s="15" t="n">
        <v>28</v>
      </c>
      <c r="K21" s="17" t="n">
        <v>25804</v>
      </c>
    </row>
    <row r="22" customFormat="false" ht="15" hidden="false" customHeight="false" outlineLevel="0" collapsed="false">
      <c r="A22" s="15" t="s">
        <v>89</v>
      </c>
      <c r="B22" s="15" t="n">
        <v>62</v>
      </c>
      <c r="C22" s="15" t="s">
        <v>85</v>
      </c>
      <c r="D22" s="15" t="s">
        <v>74</v>
      </c>
      <c r="E22" s="16" t="n">
        <v>9.6</v>
      </c>
      <c r="F22" s="17" t="n">
        <v>2217983</v>
      </c>
      <c r="G22" s="17" t="n">
        <v>1822439</v>
      </c>
      <c r="H22" s="15" t="n">
        <v>4</v>
      </c>
      <c r="I22" s="15" t="s">
        <v>67</v>
      </c>
      <c r="J22" s="15" t="n">
        <v>53</v>
      </c>
      <c r="K22" s="17" t="n">
        <v>125742</v>
      </c>
    </row>
    <row r="23" customFormat="false" ht="15" hidden="false" customHeight="false" outlineLevel="0" collapsed="false">
      <c r="A23" s="15" t="s">
        <v>90</v>
      </c>
      <c r="B23" s="15" t="n">
        <v>60</v>
      </c>
      <c r="C23" s="15" t="s">
        <v>77</v>
      </c>
      <c r="D23" s="15" t="s">
        <v>63</v>
      </c>
      <c r="E23" s="16" t="n">
        <v>4.2</v>
      </c>
      <c r="F23" s="17" t="n">
        <v>549915</v>
      </c>
      <c r="G23" s="17" t="n">
        <v>352447</v>
      </c>
      <c r="H23" s="15" t="n">
        <v>2</v>
      </c>
      <c r="I23" s="15" t="s">
        <v>64</v>
      </c>
      <c r="J23" s="15" t="n">
        <v>30</v>
      </c>
      <c r="K23" s="17" t="n">
        <v>22273</v>
      </c>
    </row>
    <row r="24" customFormat="false" ht="15" hidden="false" customHeight="false" outlineLevel="0" collapsed="false">
      <c r="A24" s="15" t="s">
        <v>91</v>
      </c>
      <c r="B24" s="15" t="n">
        <v>26</v>
      </c>
      <c r="C24" s="15" t="s">
        <v>69</v>
      </c>
      <c r="D24" s="15" t="s">
        <v>74</v>
      </c>
      <c r="E24" s="16" t="n">
        <v>12.2</v>
      </c>
      <c r="F24" s="17" t="n">
        <v>2349105</v>
      </c>
      <c r="G24" s="17" t="n">
        <v>0</v>
      </c>
      <c r="H24" s="15" t="n">
        <v>4</v>
      </c>
      <c r="I24" s="15" t="s">
        <v>64</v>
      </c>
      <c r="J24" s="15" t="n">
        <v>48</v>
      </c>
      <c r="K24" s="17" t="n">
        <v>76988</v>
      </c>
    </row>
    <row r="25" customFormat="false" ht="15" hidden="false" customHeight="false" outlineLevel="0" collapsed="false">
      <c r="A25" s="15" t="s">
        <v>92</v>
      </c>
      <c r="B25" s="15" t="n">
        <v>39</v>
      </c>
      <c r="C25" s="15" t="s">
        <v>77</v>
      </c>
      <c r="D25" s="15" t="s">
        <v>70</v>
      </c>
      <c r="E25" s="16" t="n">
        <v>12.5</v>
      </c>
      <c r="F25" s="17" t="n">
        <v>2736369</v>
      </c>
      <c r="G25" s="17" t="n">
        <v>1062651</v>
      </c>
      <c r="H25" s="15" t="n">
        <v>2</v>
      </c>
      <c r="I25" s="15" t="s">
        <v>67</v>
      </c>
      <c r="J25" s="15" t="n">
        <v>61</v>
      </c>
      <c r="K25" s="17" t="n">
        <v>49970</v>
      </c>
    </row>
    <row r="26" customFormat="false" ht="15" hidden="false" customHeight="false" outlineLevel="0" collapsed="false">
      <c r="A26" s="15" t="s">
        <v>93</v>
      </c>
      <c r="B26" s="15" t="n">
        <v>53</v>
      </c>
      <c r="C26" s="15" t="s">
        <v>85</v>
      </c>
      <c r="D26" s="15" t="s">
        <v>74</v>
      </c>
      <c r="E26" s="16" t="n">
        <v>10.3</v>
      </c>
      <c r="F26" s="17" t="n">
        <v>319400</v>
      </c>
      <c r="G26" s="17" t="n">
        <v>370330</v>
      </c>
      <c r="H26" s="15" t="n">
        <v>1</v>
      </c>
      <c r="I26" s="15" t="s">
        <v>64</v>
      </c>
      <c r="J26" s="15" t="n">
        <v>20</v>
      </c>
      <c r="K26" s="17" t="n">
        <v>9935</v>
      </c>
    </row>
    <row r="27" customFormat="false" ht="15" hidden="false" customHeight="false" outlineLevel="0" collapsed="false">
      <c r="A27" s="15" t="s">
        <v>94</v>
      </c>
      <c r="B27" s="15" t="n">
        <v>48</v>
      </c>
      <c r="C27" s="15" t="s">
        <v>77</v>
      </c>
      <c r="D27" s="15" t="s">
        <v>63</v>
      </c>
      <c r="E27" s="16" t="n">
        <v>4.2</v>
      </c>
      <c r="F27" s="17" t="n">
        <v>676869</v>
      </c>
      <c r="G27" s="17" t="n">
        <v>668370</v>
      </c>
      <c r="H27" s="15" t="n">
        <v>1</v>
      </c>
      <c r="I27" s="15" t="s">
        <v>64</v>
      </c>
      <c r="J27" s="15" t="n">
        <v>38</v>
      </c>
      <c r="K27" s="17" t="n">
        <v>31970</v>
      </c>
    </row>
    <row r="28" customFormat="false" ht="15" hidden="false" customHeight="false" outlineLevel="0" collapsed="false">
      <c r="A28" s="15" t="s">
        <v>95</v>
      </c>
      <c r="B28" s="15" t="n">
        <v>52</v>
      </c>
      <c r="C28" s="15" t="s">
        <v>69</v>
      </c>
      <c r="D28" s="15" t="s">
        <v>63</v>
      </c>
      <c r="E28" s="16" t="n">
        <v>0.9</v>
      </c>
      <c r="F28" s="17" t="n">
        <v>1808428</v>
      </c>
      <c r="G28" s="17" t="n">
        <v>0</v>
      </c>
      <c r="H28" s="15" t="n">
        <v>3</v>
      </c>
      <c r="I28" s="15" t="s">
        <v>64</v>
      </c>
      <c r="J28" s="15" t="n">
        <v>29</v>
      </c>
      <c r="K28" s="17" t="n">
        <v>58023</v>
      </c>
    </row>
    <row r="29" customFormat="false" ht="15" hidden="false" customHeight="false" outlineLevel="0" collapsed="false">
      <c r="A29" s="15" t="s">
        <v>96</v>
      </c>
      <c r="B29" s="15" t="n">
        <v>28</v>
      </c>
      <c r="C29" s="15" t="s">
        <v>77</v>
      </c>
      <c r="D29" s="15" t="s">
        <v>70</v>
      </c>
      <c r="E29" s="16" t="n">
        <v>15.5</v>
      </c>
      <c r="F29" s="17" t="n">
        <v>1260793</v>
      </c>
      <c r="G29" s="17" t="n">
        <v>637635</v>
      </c>
      <c r="H29" s="15" t="n">
        <v>1</v>
      </c>
      <c r="I29" s="15" t="s">
        <v>64</v>
      </c>
      <c r="J29" s="15" t="n">
        <v>21</v>
      </c>
      <c r="K29" s="17" t="n">
        <v>28516</v>
      </c>
    </row>
    <row r="30" customFormat="false" ht="15" hidden="false" customHeight="false" outlineLevel="0" collapsed="false">
      <c r="A30" s="15" t="s">
        <v>97</v>
      </c>
      <c r="B30" s="15" t="n">
        <v>43</v>
      </c>
      <c r="C30" s="15" t="s">
        <v>69</v>
      </c>
      <c r="D30" s="15" t="s">
        <v>63</v>
      </c>
      <c r="E30" s="16" t="n">
        <v>6.6</v>
      </c>
      <c r="F30" s="17" t="n">
        <v>705465</v>
      </c>
      <c r="G30" s="17" t="n">
        <v>0</v>
      </c>
      <c r="H30" s="15" t="n">
        <v>2</v>
      </c>
      <c r="I30" s="15" t="s">
        <v>64</v>
      </c>
      <c r="J30" s="15" t="n">
        <v>24</v>
      </c>
      <c r="K30" s="17" t="n">
        <v>40104</v>
      </c>
    </row>
    <row r="31" customFormat="false" ht="15" hidden="false" customHeight="false" outlineLevel="0" collapsed="false">
      <c r="A31" s="15" t="s">
        <v>98</v>
      </c>
      <c r="B31" s="15" t="n">
        <v>32</v>
      </c>
      <c r="C31" s="15" t="s">
        <v>77</v>
      </c>
      <c r="D31" s="15" t="s">
        <v>63</v>
      </c>
      <c r="E31" s="16" t="n">
        <v>10.9</v>
      </c>
      <c r="F31" s="17" t="n">
        <v>962246</v>
      </c>
      <c r="G31" s="17" t="n">
        <v>1553410</v>
      </c>
      <c r="H31" s="15" t="n">
        <v>1</v>
      </c>
      <c r="I31" s="15" t="s">
        <v>64</v>
      </c>
      <c r="J31" s="15" t="n">
        <v>22</v>
      </c>
      <c r="K31" s="17" t="n">
        <v>43247</v>
      </c>
    </row>
    <row r="32" customFormat="false" ht="15" hidden="false" customHeight="false" outlineLevel="0" collapsed="false">
      <c r="A32" s="15" t="s">
        <v>99</v>
      </c>
      <c r="B32" s="15" t="n">
        <v>38</v>
      </c>
      <c r="C32" s="15" t="s">
        <v>66</v>
      </c>
      <c r="D32" s="15" t="s">
        <v>74</v>
      </c>
      <c r="E32" s="16" t="n">
        <v>6.9</v>
      </c>
      <c r="F32" s="17" t="n">
        <v>783097</v>
      </c>
      <c r="G32" s="17" t="n">
        <v>604072</v>
      </c>
      <c r="H32" s="15" t="n">
        <v>1</v>
      </c>
      <c r="I32" s="15" t="s">
        <v>64</v>
      </c>
      <c r="J32" s="15" t="n">
        <v>18</v>
      </c>
      <c r="K32" s="17" t="n">
        <v>18568</v>
      </c>
    </row>
    <row r="33" customFormat="false" ht="15" hidden="false" customHeight="false" outlineLevel="0" collapsed="false">
      <c r="A33" s="15" t="s">
        <v>100</v>
      </c>
      <c r="B33" s="15" t="n">
        <v>61</v>
      </c>
      <c r="C33" s="15" t="s">
        <v>85</v>
      </c>
      <c r="D33" s="15" t="s">
        <v>70</v>
      </c>
      <c r="E33" s="16" t="n">
        <v>2.7</v>
      </c>
      <c r="F33" s="17" t="n">
        <v>1350717</v>
      </c>
      <c r="G33" s="17" t="n">
        <v>839589</v>
      </c>
      <c r="H33" s="15" t="n">
        <v>2</v>
      </c>
      <c r="I33" s="15" t="s">
        <v>64</v>
      </c>
      <c r="J33" s="15" t="n">
        <v>18</v>
      </c>
      <c r="K33" s="17" t="n">
        <v>33074</v>
      </c>
    </row>
    <row r="34" customFormat="false" ht="15" hidden="false" customHeight="false" outlineLevel="0" collapsed="false">
      <c r="A34" s="15" t="s">
        <v>101</v>
      </c>
      <c r="B34" s="15" t="n">
        <v>64</v>
      </c>
      <c r="C34" s="15" t="s">
        <v>85</v>
      </c>
      <c r="D34" s="15" t="s">
        <v>74</v>
      </c>
      <c r="E34" s="16" t="n">
        <v>12</v>
      </c>
      <c r="F34" s="17" t="n">
        <v>2875807</v>
      </c>
      <c r="G34" s="17" t="n">
        <v>2268705</v>
      </c>
      <c r="H34" s="15" t="n">
        <v>2</v>
      </c>
      <c r="I34" s="15" t="s">
        <v>67</v>
      </c>
      <c r="J34" s="15" t="n">
        <v>48</v>
      </c>
      <c r="K34" s="17" t="n">
        <v>80333</v>
      </c>
    </row>
    <row r="35" customFormat="false" ht="15" hidden="false" customHeight="false" outlineLevel="0" collapsed="false">
      <c r="A35" s="15" t="s">
        <v>102</v>
      </c>
      <c r="B35" s="15" t="n">
        <v>41</v>
      </c>
      <c r="C35" s="15" t="s">
        <v>77</v>
      </c>
      <c r="D35" s="15" t="s">
        <v>63</v>
      </c>
      <c r="E35" s="16" t="n">
        <v>12.3</v>
      </c>
      <c r="F35" s="17" t="n">
        <v>2356600</v>
      </c>
      <c r="G35" s="17" t="n">
        <v>2600325</v>
      </c>
      <c r="H35" s="15" t="n">
        <v>2</v>
      </c>
      <c r="I35" s="15" t="s">
        <v>67</v>
      </c>
      <c r="J35" s="15" t="n">
        <v>54</v>
      </c>
      <c r="K35" s="17" t="n">
        <v>57794</v>
      </c>
    </row>
    <row r="36" customFormat="false" ht="15" hidden="false" customHeight="false" outlineLevel="0" collapsed="false">
      <c r="A36" s="15" t="s">
        <v>103</v>
      </c>
      <c r="B36" s="15" t="n">
        <v>57</v>
      </c>
      <c r="C36" s="15" t="s">
        <v>62</v>
      </c>
      <c r="D36" s="15" t="s">
        <v>70</v>
      </c>
      <c r="E36" s="16" t="n">
        <v>7.5</v>
      </c>
      <c r="F36" s="17" t="n">
        <v>525382</v>
      </c>
      <c r="G36" s="17" t="n">
        <v>413269</v>
      </c>
      <c r="H36" s="15" t="n">
        <v>1</v>
      </c>
      <c r="I36" s="15" t="s">
        <v>64</v>
      </c>
      <c r="J36" s="15" t="n">
        <v>30</v>
      </c>
      <c r="K36" s="17" t="n">
        <v>15558</v>
      </c>
    </row>
    <row r="37" customFormat="false" ht="15" hidden="false" customHeight="false" outlineLevel="0" collapsed="false">
      <c r="A37" s="15" t="s">
        <v>104</v>
      </c>
      <c r="B37" s="15" t="n">
        <v>61</v>
      </c>
      <c r="C37" s="15" t="s">
        <v>85</v>
      </c>
      <c r="D37" s="15" t="s">
        <v>63</v>
      </c>
      <c r="E37" s="16" t="n">
        <v>4.9</v>
      </c>
      <c r="F37" s="17" t="n">
        <v>1642634</v>
      </c>
      <c r="G37" s="17" t="n">
        <v>1485439</v>
      </c>
      <c r="H37" s="15" t="n">
        <v>2</v>
      </c>
      <c r="I37" s="15" t="s">
        <v>64</v>
      </c>
      <c r="J37" s="15" t="n">
        <v>47</v>
      </c>
      <c r="K37" s="17" t="n">
        <v>51841</v>
      </c>
    </row>
    <row r="38" customFormat="false" ht="15" hidden="false" customHeight="false" outlineLevel="0" collapsed="false">
      <c r="A38" s="15" t="s">
        <v>105</v>
      </c>
      <c r="B38" s="15" t="n">
        <v>54</v>
      </c>
      <c r="C38" s="15" t="s">
        <v>77</v>
      </c>
      <c r="D38" s="15" t="s">
        <v>70</v>
      </c>
      <c r="E38" s="16" t="n">
        <v>5</v>
      </c>
      <c r="F38" s="17" t="n">
        <v>820186</v>
      </c>
      <c r="G38" s="17" t="n">
        <v>491266</v>
      </c>
      <c r="H38" s="15" t="n">
        <v>1</v>
      </c>
      <c r="I38" s="15" t="s">
        <v>64</v>
      </c>
      <c r="J38" s="15" t="n">
        <v>19</v>
      </c>
      <c r="K38" s="17" t="n">
        <v>19587</v>
      </c>
    </row>
    <row r="39" customFormat="false" ht="15" hidden="false" customHeight="false" outlineLevel="0" collapsed="false">
      <c r="A39" s="15" t="s">
        <v>106</v>
      </c>
      <c r="B39" s="15" t="n">
        <v>31</v>
      </c>
      <c r="C39" s="15" t="s">
        <v>77</v>
      </c>
      <c r="D39" s="15" t="s">
        <v>74</v>
      </c>
      <c r="E39" s="16" t="n">
        <v>2.9</v>
      </c>
      <c r="F39" s="17" t="n">
        <v>721380</v>
      </c>
      <c r="G39" s="17" t="n">
        <v>666984</v>
      </c>
      <c r="H39" s="15" t="n">
        <v>1</v>
      </c>
      <c r="I39" s="15" t="s">
        <v>64</v>
      </c>
      <c r="J39" s="15" t="n">
        <v>17</v>
      </c>
      <c r="K39" s="17" t="n">
        <v>23881</v>
      </c>
    </row>
    <row r="40" customFormat="false" ht="15" hidden="false" customHeight="false" outlineLevel="0" collapsed="false">
      <c r="A40" s="15" t="s">
        <v>107</v>
      </c>
      <c r="B40" s="15" t="n">
        <v>27</v>
      </c>
      <c r="C40" s="15" t="s">
        <v>69</v>
      </c>
      <c r="D40" s="15" t="s">
        <v>74</v>
      </c>
      <c r="E40" s="16" t="n">
        <v>15.5</v>
      </c>
      <c r="F40" s="17" t="n">
        <v>2887279</v>
      </c>
      <c r="G40" s="17" t="n">
        <v>0</v>
      </c>
      <c r="H40" s="15" t="n">
        <v>2</v>
      </c>
      <c r="I40" s="15" t="s">
        <v>64</v>
      </c>
      <c r="J40" s="15" t="n">
        <v>48</v>
      </c>
      <c r="K40" s="17" t="n">
        <v>76334</v>
      </c>
    </row>
    <row r="41" customFormat="false" ht="15" hidden="false" customHeight="false" outlineLevel="0" collapsed="false">
      <c r="A41" s="15" t="s">
        <v>108</v>
      </c>
      <c r="B41" s="15" t="n">
        <v>40</v>
      </c>
      <c r="C41" s="15" t="s">
        <v>77</v>
      </c>
      <c r="D41" s="15" t="s">
        <v>70</v>
      </c>
      <c r="E41" s="16" t="n">
        <v>5.3</v>
      </c>
      <c r="F41" s="17" t="n">
        <v>1658386</v>
      </c>
      <c r="G41" s="17" t="n">
        <v>1511241</v>
      </c>
      <c r="H41" s="15" t="n">
        <v>3</v>
      </c>
      <c r="I41" s="15" t="s">
        <v>64</v>
      </c>
      <c r="J41" s="15" t="n">
        <v>50</v>
      </c>
      <c r="K41" s="17" t="n">
        <v>47811</v>
      </c>
    </row>
    <row r="42" customFormat="false" ht="15" hidden="false" customHeight="false" outlineLevel="0" collapsed="false">
      <c r="A42" s="15" t="s">
        <v>109</v>
      </c>
      <c r="B42" s="15" t="n">
        <v>62</v>
      </c>
      <c r="C42" s="15" t="s">
        <v>85</v>
      </c>
      <c r="D42" s="15" t="s">
        <v>74</v>
      </c>
      <c r="E42" s="16" t="n">
        <v>12.1</v>
      </c>
      <c r="F42" s="17" t="n">
        <v>721685</v>
      </c>
      <c r="G42" s="17" t="n">
        <v>528544</v>
      </c>
      <c r="H42" s="15" t="n">
        <v>2</v>
      </c>
      <c r="I42" s="15" t="s">
        <v>64</v>
      </c>
      <c r="J42" s="15" t="n">
        <v>19</v>
      </c>
      <c r="K42" s="17" t="n">
        <v>34622</v>
      </c>
    </row>
    <row r="43" customFormat="false" ht="15" hidden="false" customHeight="false" outlineLevel="0" collapsed="false">
      <c r="A43" s="15" t="s">
        <v>110</v>
      </c>
      <c r="B43" s="15" t="n">
        <v>31</v>
      </c>
      <c r="C43" s="15" t="s">
        <v>85</v>
      </c>
      <c r="D43" s="15" t="s">
        <v>70</v>
      </c>
      <c r="E43" s="16" t="n">
        <v>8.7</v>
      </c>
      <c r="F43" s="17" t="n">
        <v>750053</v>
      </c>
      <c r="G43" s="17" t="n">
        <v>432957</v>
      </c>
      <c r="H43" s="15" t="n">
        <v>1</v>
      </c>
      <c r="I43" s="15" t="s">
        <v>64</v>
      </c>
      <c r="J43" s="15" t="n">
        <v>13</v>
      </c>
      <c r="K43" s="17" t="n">
        <v>31541</v>
      </c>
    </row>
    <row r="44" customFormat="false" ht="15" hidden="false" customHeight="false" outlineLevel="0" collapsed="false">
      <c r="A44" s="15" t="s">
        <v>111</v>
      </c>
      <c r="B44" s="15" t="n">
        <v>49</v>
      </c>
      <c r="C44" s="15" t="s">
        <v>85</v>
      </c>
      <c r="D44" s="15" t="s">
        <v>70</v>
      </c>
      <c r="E44" s="16" t="n">
        <v>3.4</v>
      </c>
      <c r="F44" s="17" t="n">
        <v>4150401</v>
      </c>
      <c r="G44" s="17" t="n">
        <v>1626561</v>
      </c>
      <c r="H44" s="15" t="n">
        <v>3</v>
      </c>
      <c r="I44" s="15" t="s">
        <v>67</v>
      </c>
      <c r="J44" s="15" t="n">
        <v>65</v>
      </c>
      <c r="K44" s="17" t="n">
        <v>140506</v>
      </c>
    </row>
    <row r="45" customFormat="false" ht="15" hidden="false" customHeight="false" outlineLevel="0" collapsed="false">
      <c r="A45" s="15" t="s">
        <v>112</v>
      </c>
      <c r="B45" s="15" t="n">
        <v>30</v>
      </c>
      <c r="C45" s="15" t="s">
        <v>85</v>
      </c>
      <c r="D45" s="15" t="s">
        <v>63</v>
      </c>
      <c r="E45" s="16" t="n">
        <v>10.9</v>
      </c>
      <c r="F45" s="17" t="n">
        <v>2474858</v>
      </c>
      <c r="G45" s="17" t="n">
        <v>1747332</v>
      </c>
      <c r="H45" s="15" t="n">
        <v>2</v>
      </c>
      <c r="I45" s="15" t="s">
        <v>64</v>
      </c>
      <c r="J45" s="15" t="n">
        <v>45</v>
      </c>
      <c r="K45" s="17" t="n">
        <v>75503</v>
      </c>
    </row>
    <row r="46" customFormat="false" ht="15" hidden="false" customHeight="false" outlineLevel="0" collapsed="false">
      <c r="A46" s="15" t="s">
        <v>113</v>
      </c>
      <c r="B46" s="15" t="n">
        <v>47</v>
      </c>
      <c r="C46" s="15" t="s">
        <v>77</v>
      </c>
      <c r="D46" s="15" t="s">
        <v>74</v>
      </c>
      <c r="E46" s="16" t="n">
        <v>0.7</v>
      </c>
      <c r="F46" s="17" t="n">
        <v>2098535</v>
      </c>
      <c r="G46" s="17" t="n">
        <v>1271136</v>
      </c>
      <c r="H46" s="15" t="n">
        <v>1</v>
      </c>
      <c r="I46" s="15" t="s">
        <v>64</v>
      </c>
      <c r="J46" s="15" t="n">
        <v>29</v>
      </c>
      <c r="K46" s="17" t="n">
        <v>53751</v>
      </c>
    </row>
    <row r="47" customFormat="false" ht="15" hidden="false" customHeight="false" outlineLevel="0" collapsed="false">
      <c r="A47" s="15" t="s">
        <v>114</v>
      </c>
      <c r="B47" s="15" t="n">
        <v>65</v>
      </c>
      <c r="C47" s="15" t="s">
        <v>62</v>
      </c>
      <c r="D47" s="15" t="s">
        <v>70</v>
      </c>
      <c r="E47" s="16" t="n">
        <v>14.6</v>
      </c>
      <c r="F47" s="17" t="n">
        <v>1577250</v>
      </c>
      <c r="G47" s="17" t="n">
        <v>2096485</v>
      </c>
      <c r="H47" s="15" t="n">
        <v>3</v>
      </c>
      <c r="I47" s="15" t="s">
        <v>64</v>
      </c>
      <c r="J47" s="15" t="n">
        <v>31</v>
      </c>
      <c r="K47" s="17" t="n">
        <v>85558</v>
      </c>
    </row>
    <row r="48" customFormat="false" ht="15" hidden="false" customHeight="false" outlineLevel="0" collapsed="false">
      <c r="A48" s="15" t="s">
        <v>115</v>
      </c>
      <c r="B48" s="15" t="n">
        <v>62</v>
      </c>
      <c r="C48" s="15" t="s">
        <v>77</v>
      </c>
      <c r="D48" s="15" t="s">
        <v>70</v>
      </c>
      <c r="E48" s="16" t="n">
        <v>11.2</v>
      </c>
      <c r="F48" s="17" t="n">
        <v>1663120</v>
      </c>
      <c r="G48" s="17" t="n">
        <v>2104759</v>
      </c>
      <c r="H48" s="15" t="n">
        <v>3</v>
      </c>
      <c r="I48" s="15" t="s">
        <v>64</v>
      </c>
      <c r="J48" s="15" t="n">
        <v>36</v>
      </c>
      <c r="K48" s="17" t="n">
        <v>35523</v>
      </c>
    </row>
    <row r="49" customFormat="false" ht="15" hidden="false" customHeight="false" outlineLevel="0" collapsed="false">
      <c r="A49" s="15" t="s">
        <v>116</v>
      </c>
      <c r="B49" s="15" t="n">
        <v>41</v>
      </c>
      <c r="C49" s="15" t="s">
        <v>77</v>
      </c>
      <c r="D49" s="15" t="s">
        <v>63</v>
      </c>
      <c r="E49" s="16" t="n">
        <v>13.1</v>
      </c>
      <c r="F49" s="17" t="n">
        <v>1367738</v>
      </c>
      <c r="G49" s="17" t="n">
        <v>1432718</v>
      </c>
      <c r="H49" s="15" t="n">
        <v>1</v>
      </c>
      <c r="I49" s="15" t="s">
        <v>64</v>
      </c>
      <c r="J49" s="15" t="n">
        <v>27</v>
      </c>
      <c r="K49" s="17" t="n">
        <v>53220</v>
      </c>
    </row>
    <row r="50" customFormat="false" ht="15" hidden="false" customHeight="false" outlineLevel="0" collapsed="false">
      <c r="A50" s="15" t="s">
        <v>117</v>
      </c>
      <c r="B50" s="15" t="n">
        <v>49</v>
      </c>
      <c r="C50" s="15" t="s">
        <v>77</v>
      </c>
      <c r="D50" s="15" t="s">
        <v>74</v>
      </c>
      <c r="E50" s="16" t="n">
        <v>8.8</v>
      </c>
      <c r="F50" s="17" t="n">
        <v>1609523</v>
      </c>
      <c r="G50" s="17" t="n">
        <v>909817</v>
      </c>
      <c r="H50" s="15" t="n">
        <v>1</v>
      </c>
      <c r="I50" s="15" t="s">
        <v>64</v>
      </c>
      <c r="J50" s="15" t="n">
        <v>24</v>
      </c>
      <c r="K50" s="17" t="n">
        <v>33210</v>
      </c>
    </row>
    <row r="51" customFormat="false" ht="15" hidden="false" customHeight="false" outlineLevel="0" collapsed="false">
      <c r="A51" s="15" t="s">
        <v>118</v>
      </c>
      <c r="B51" s="15" t="n">
        <v>37</v>
      </c>
      <c r="C51" s="15" t="s">
        <v>77</v>
      </c>
      <c r="D51" s="15" t="s">
        <v>74</v>
      </c>
      <c r="E51" s="16" t="n">
        <v>3.9</v>
      </c>
      <c r="F51" s="17" t="n">
        <v>2536556</v>
      </c>
      <c r="G51" s="17" t="n">
        <v>2771845</v>
      </c>
      <c r="H51" s="15" t="n">
        <v>4</v>
      </c>
      <c r="I51" s="15" t="s">
        <v>67</v>
      </c>
      <c r="J51" s="15" t="n">
        <v>46</v>
      </c>
      <c r="K51" s="17" t="n">
        <v>64035</v>
      </c>
    </row>
    <row r="52" customFormat="false" ht="15" hidden="false" customHeight="false" outlineLevel="0" collapsed="false">
      <c r="A52" s="15" t="s">
        <v>119</v>
      </c>
      <c r="B52" s="15" t="n">
        <v>34</v>
      </c>
      <c r="C52" s="15" t="s">
        <v>62</v>
      </c>
      <c r="D52" s="15" t="s">
        <v>74</v>
      </c>
      <c r="E52" s="16" t="n">
        <v>5.3</v>
      </c>
      <c r="F52" s="17" t="n">
        <v>1999250</v>
      </c>
      <c r="G52" s="17" t="n">
        <v>1354183</v>
      </c>
      <c r="H52" s="15" t="n">
        <v>2</v>
      </c>
      <c r="I52" s="15" t="s">
        <v>64</v>
      </c>
      <c r="J52" s="15" t="n">
        <v>36</v>
      </c>
      <c r="K52" s="17" t="n">
        <v>36562</v>
      </c>
    </row>
    <row r="53" customFormat="false" ht="15" hidden="false" customHeight="false" outlineLevel="0" collapsed="false">
      <c r="A53" s="15" t="s">
        <v>120</v>
      </c>
      <c r="B53" s="15" t="n">
        <v>56</v>
      </c>
      <c r="C53" s="15" t="s">
        <v>77</v>
      </c>
      <c r="D53" s="15" t="s">
        <v>70</v>
      </c>
      <c r="E53" s="16" t="n">
        <v>2.5</v>
      </c>
      <c r="F53" s="17" t="n">
        <v>311782</v>
      </c>
      <c r="G53" s="17" t="n">
        <v>455182</v>
      </c>
      <c r="H53" s="15" t="n">
        <v>2</v>
      </c>
      <c r="I53" s="15" t="s">
        <v>64</v>
      </c>
      <c r="J53" s="15" t="n">
        <v>9</v>
      </c>
      <c r="K53" s="17" t="n">
        <v>11070</v>
      </c>
    </row>
    <row r="54" customFormat="false" ht="15" hidden="false" customHeight="false" outlineLevel="0" collapsed="false">
      <c r="A54" s="15" t="s">
        <v>121</v>
      </c>
      <c r="B54" s="15" t="n">
        <v>64</v>
      </c>
      <c r="C54" s="15" t="s">
        <v>66</v>
      </c>
      <c r="D54" s="15" t="s">
        <v>70</v>
      </c>
      <c r="E54" s="16" t="n">
        <v>10.9</v>
      </c>
      <c r="F54" s="17" t="n">
        <v>1927782</v>
      </c>
      <c r="G54" s="17" t="n">
        <v>2047505</v>
      </c>
      <c r="H54" s="15" t="n">
        <v>3</v>
      </c>
      <c r="I54" s="15" t="s">
        <v>67</v>
      </c>
      <c r="J54" s="15" t="n">
        <v>36</v>
      </c>
      <c r="K54" s="17" t="n">
        <v>106978</v>
      </c>
    </row>
    <row r="55" customFormat="false" ht="15" hidden="false" customHeight="false" outlineLevel="0" collapsed="false">
      <c r="A55" s="15" t="s">
        <v>122</v>
      </c>
      <c r="B55" s="15" t="n">
        <v>39</v>
      </c>
      <c r="C55" s="15" t="s">
        <v>77</v>
      </c>
      <c r="D55" s="15" t="s">
        <v>63</v>
      </c>
      <c r="E55" s="16" t="n">
        <v>5.1</v>
      </c>
      <c r="F55" s="17" t="n">
        <v>468183</v>
      </c>
      <c r="G55" s="17" t="n">
        <v>486903</v>
      </c>
      <c r="H55" s="15" t="n">
        <v>1</v>
      </c>
      <c r="I55" s="15" t="s">
        <v>64</v>
      </c>
      <c r="J55" s="15" t="n">
        <v>8</v>
      </c>
      <c r="K55" s="17" t="n">
        <v>13530</v>
      </c>
    </row>
    <row r="56" customFormat="false" ht="15" hidden="false" customHeight="false" outlineLevel="0" collapsed="false">
      <c r="A56" s="15" t="s">
        <v>123</v>
      </c>
      <c r="B56" s="15" t="n">
        <v>30</v>
      </c>
      <c r="C56" s="15" t="s">
        <v>77</v>
      </c>
      <c r="D56" s="15" t="s">
        <v>70</v>
      </c>
      <c r="E56" s="16" t="n">
        <v>12.5</v>
      </c>
      <c r="F56" s="17" t="n">
        <v>2675350</v>
      </c>
      <c r="G56" s="17" t="n">
        <v>2146624</v>
      </c>
      <c r="H56" s="15" t="n">
        <v>2</v>
      </c>
      <c r="I56" s="15" t="s">
        <v>64</v>
      </c>
      <c r="J56" s="15" t="n">
        <v>35</v>
      </c>
      <c r="K56" s="17" t="n">
        <v>55164</v>
      </c>
    </row>
    <row r="57" customFormat="false" ht="15" hidden="false" customHeight="false" outlineLevel="0" collapsed="false">
      <c r="A57" s="15" t="s">
        <v>124</v>
      </c>
      <c r="B57" s="15" t="n">
        <v>44</v>
      </c>
      <c r="C57" s="15" t="s">
        <v>62</v>
      </c>
      <c r="D57" s="15" t="s">
        <v>74</v>
      </c>
      <c r="E57" s="16" t="n">
        <v>8.2</v>
      </c>
      <c r="F57" s="17" t="n">
        <v>1844982</v>
      </c>
      <c r="G57" s="17" t="n">
        <v>1393333</v>
      </c>
      <c r="H57" s="15" t="n">
        <v>2</v>
      </c>
      <c r="I57" s="15" t="s">
        <v>64</v>
      </c>
      <c r="J57" s="15" t="n">
        <v>53</v>
      </c>
      <c r="K57" s="17" t="n">
        <v>71296</v>
      </c>
    </row>
    <row r="58" customFormat="false" ht="15" hidden="false" customHeight="false" outlineLevel="0" collapsed="false">
      <c r="A58" s="15" t="s">
        <v>125</v>
      </c>
      <c r="B58" s="15" t="n">
        <v>27</v>
      </c>
      <c r="C58" s="15" t="s">
        <v>66</v>
      </c>
      <c r="D58" s="15" t="s">
        <v>70</v>
      </c>
      <c r="E58" s="16" t="n">
        <v>2.1</v>
      </c>
      <c r="F58" s="17" t="n">
        <v>2886025</v>
      </c>
      <c r="G58" s="17" t="n">
        <v>1924074</v>
      </c>
      <c r="H58" s="15" t="n">
        <v>3</v>
      </c>
      <c r="I58" s="15" t="s">
        <v>64</v>
      </c>
      <c r="J58" s="15" t="n">
        <v>41</v>
      </c>
      <c r="K58" s="17" t="n">
        <v>85030</v>
      </c>
    </row>
    <row r="59" customFormat="false" ht="15" hidden="false" customHeight="false" outlineLevel="0" collapsed="false">
      <c r="A59" s="15" t="s">
        <v>126</v>
      </c>
      <c r="B59" s="15" t="n">
        <v>31</v>
      </c>
      <c r="C59" s="15" t="s">
        <v>62</v>
      </c>
      <c r="D59" s="15" t="s">
        <v>70</v>
      </c>
      <c r="E59" s="16" t="n">
        <v>8.7</v>
      </c>
      <c r="F59" s="17" t="n">
        <v>2218062</v>
      </c>
      <c r="G59" s="17" t="n">
        <v>1961153</v>
      </c>
      <c r="H59" s="15" t="n">
        <v>3</v>
      </c>
      <c r="I59" s="15" t="s">
        <v>67</v>
      </c>
      <c r="J59" s="15" t="n">
        <v>58</v>
      </c>
      <c r="K59" s="17" t="n">
        <v>46326</v>
      </c>
    </row>
    <row r="60" customFormat="false" ht="15" hidden="false" customHeight="false" outlineLevel="0" collapsed="false">
      <c r="A60" s="15" t="s">
        <v>127</v>
      </c>
      <c r="B60" s="15" t="n">
        <v>42</v>
      </c>
      <c r="C60" s="15" t="s">
        <v>77</v>
      </c>
      <c r="D60" s="15" t="s">
        <v>70</v>
      </c>
      <c r="E60" s="16" t="n">
        <v>6.2</v>
      </c>
      <c r="F60" s="17" t="n">
        <v>1394234</v>
      </c>
      <c r="G60" s="17" t="n">
        <v>892776</v>
      </c>
      <c r="H60" s="15" t="n">
        <v>2</v>
      </c>
      <c r="I60" s="15" t="s">
        <v>64</v>
      </c>
      <c r="J60" s="15" t="n">
        <v>45</v>
      </c>
      <c r="K60" s="17" t="n">
        <v>54952</v>
      </c>
    </row>
    <row r="61" customFormat="false" ht="15" hidden="false" customHeight="false" outlineLevel="0" collapsed="false">
      <c r="A61" s="15" t="s">
        <v>128</v>
      </c>
      <c r="B61" s="15" t="n">
        <v>39</v>
      </c>
      <c r="C61" s="15" t="s">
        <v>69</v>
      </c>
      <c r="D61" s="15" t="s">
        <v>63</v>
      </c>
      <c r="E61" s="16" t="n">
        <v>5.2</v>
      </c>
      <c r="F61" s="17" t="n">
        <v>240898</v>
      </c>
      <c r="G61" s="17" t="n">
        <v>0</v>
      </c>
      <c r="H61" s="15" t="n">
        <v>1</v>
      </c>
      <c r="I61" s="15" t="s">
        <v>64</v>
      </c>
      <c r="J61" s="15" t="n">
        <v>29</v>
      </c>
      <c r="K61" s="17" t="n">
        <v>15137</v>
      </c>
    </row>
    <row r="62" customFormat="false" ht="15" hidden="false" customHeight="false" outlineLevel="0" collapsed="false">
      <c r="A62" s="15" t="s">
        <v>129</v>
      </c>
      <c r="B62" s="15" t="n">
        <v>26</v>
      </c>
      <c r="C62" s="15" t="s">
        <v>77</v>
      </c>
      <c r="D62" s="15" t="s">
        <v>74</v>
      </c>
      <c r="E62" s="16" t="n">
        <v>10.2</v>
      </c>
      <c r="F62" s="17" t="n">
        <v>1042604</v>
      </c>
      <c r="G62" s="17" t="n">
        <v>1027093</v>
      </c>
      <c r="H62" s="15" t="n">
        <v>2</v>
      </c>
      <c r="I62" s="15" t="s">
        <v>64</v>
      </c>
      <c r="J62" s="15" t="n">
        <v>23</v>
      </c>
      <c r="K62" s="17" t="n">
        <v>44700</v>
      </c>
    </row>
    <row r="63" customFormat="false" ht="15" hidden="false" customHeight="false" outlineLevel="0" collapsed="false">
      <c r="A63" s="15" t="s">
        <v>130</v>
      </c>
      <c r="B63" s="15" t="n">
        <v>55</v>
      </c>
      <c r="C63" s="15" t="s">
        <v>85</v>
      </c>
      <c r="D63" s="15" t="s">
        <v>63</v>
      </c>
      <c r="E63" s="16" t="n">
        <v>10.1</v>
      </c>
      <c r="F63" s="17" t="n">
        <v>1791732</v>
      </c>
      <c r="G63" s="17" t="n">
        <v>917102</v>
      </c>
      <c r="H63" s="15" t="n">
        <v>2</v>
      </c>
      <c r="I63" s="15" t="s">
        <v>64</v>
      </c>
      <c r="J63" s="15" t="n">
        <v>33</v>
      </c>
      <c r="K63" s="17" t="n">
        <v>63467</v>
      </c>
    </row>
    <row r="64" customFormat="false" ht="15" hidden="false" customHeight="false" outlineLevel="0" collapsed="false">
      <c r="A64" s="15" t="s">
        <v>131</v>
      </c>
      <c r="B64" s="15" t="n">
        <v>26</v>
      </c>
      <c r="C64" s="15" t="s">
        <v>66</v>
      </c>
      <c r="D64" s="15" t="s">
        <v>70</v>
      </c>
      <c r="E64" s="16" t="n">
        <v>5.4</v>
      </c>
      <c r="F64" s="17" t="n">
        <v>1598844</v>
      </c>
      <c r="G64" s="17" t="n">
        <v>1575071</v>
      </c>
      <c r="H64" s="15" t="n">
        <v>2</v>
      </c>
      <c r="I64" s="15" t="s">
        <v>64</v>
      </c>
      <c r="J64" s="15" t="n">
        <v>41</v>
      </c>
      <c r="K64" s="17" t="n">
        <v>50682</v>
      </c>
    </row>
    <row r="65" customFormat="false" ht="15" hidden="false" customHeight="false" outlineLevel="0" collapsed="false">
      <c r="A65" s="15" t="s">
        <v>132</v>
      </c>
      <c r="B65" s="15" t="n">
        <v>62</v>
      </c>
      <c r="C65" s="15" t="s">
        <v>77</v>
      </c>
      <c r="D65" s="15" t="s">
        <v>63</v>
      </c>
      <c r="E65" s="16" t="n">
        <v>7.2</v>
      </c>
      <c r="F65" s="17" t="n">
        <v>1422668</v>
      </c>
      <c r="G65" s="17" t="n">
        <v>571317</v>
      </c>
      <c r="H65" s="15" t="n">
        <v>2</v>
      </c>
      <c r="I65" s="15" t="s">
        <v>64</v>
      </c>
      <c r="J65" s="15" t="n">
        <v>25</v>
      </c>
      <c r="K65" s="17" t="n">
        <v>22065</v>
      </c>
    </row>
    <row r="66" customFormat="false" ht="15" hidden="false" customHeight="false" outlineLevel="0" collapsed="false">
      <c r="A66" s="15" t="s">
        <v>133</v>
      </c>
      <c r="B66" s="15" t="n">
        <v>32</v>
      </c>
      <c r="C66" s="15" t="s">
        <v>69</v>
      </c>
      <c r="D66" s="15" t="s">
        <v>70</v>
      </c>
      <c r="E66" s="16" t="n">
        <v>9.7</v>
      </c>
      <c r="F66" s="17" t="n">
        <v>1259520</v>
      </c>
      <c r="G66" s="17" t="n">
        <v>0</v>
      </c>
      <c r="H66" s="15" t="n">
        <v>2</v>
      </c>
      <c r="I66" s="15" t="s">
        <v>64</v>
      </c>
      <c r="J66" s="15" t="n">
        <v>55</v>
      </c>
      <c r="K66" s="17" t="n">
        <v>49205</v>
      </c>
    </row>
    <row r="67" customFormat="false" ht="15" hidden="false" customHeight="false" outlineLevel="0" collapsed="false">
      <c r="A67" s="15" t="s">
        <v>134</v>
      </c>
      <c r="B67" s="15" t="n">
        <v>31</v>
      </c>
      <c r="C67" s="15" t="s">
        <v>62</v>
      </c>
      <c r="D67" s="15" t="s">
        <v>70</v>
      </c>
      <c r="E67" s="16" t="n">
        <v>15.4</v>
      </c>
      <c r="F67" s="17" t="n">
        <v>3978902</v>
      </c>
      <c r="G67" s="17" t="n">
        <v>3437943</v>
      </c>
      <c r="H67" s="15" t="n">
        <v>5</v>
      </c>
      <c r="I67" s="15" t="s">
        <v>67</v>
      </c>
      <c r="J67" s="15" t="n">
        <v>52</v>
      </c>
      <c r="K67" s="17" t="n">
        <v>124779</v>
      </c>
    </row>
    <row r="68" customFormat="false" ht="15" hidden="false" customHeight="false" outlineLevel="0" collapsed="false">
      <c r="A68" s="15" t="s">
        <v>135</v>
      </c>
      <c r="B68" s="15" t="n">
        <v>31</v>
      </c>
      <c r="C68" s="15" t="s">
        <v>77</v>
      </c>
      <c r="D68" s="15" t="s">
        <v>63</v>
      </c>
      <c r="E68" s="16" t="n">
        <v>8.1</v>
      </c>
      <c r="F68" s="17" t="n">
        <v>383969</v>
      </c>
      <c r="G68" s="17" t="n">
        <v>372549</v>
      </c>
      <c r="H68" s="15" t="n">
        <v>1</v>
      </c>
      <c r="I68" s="15" t="s">
        <v>64</v>
      </c>
      <c r="J68" s="15" t="n">
        <v>28</v>
      </c>
      <c r="K68" s="17" t="n">
        <v>8953</v>
      </c>
    </row>
    <row r="69" customFormat="false" ht="15" hidden="false" customHeight="false" outlineLevel="0" collapsed="false">
      <c r="A69" s="15" t="s">
        <v>136</v>
      </c>
      <c r="B69" s="15" t="n">
        <v>35</v>
      </c>
      <c r="C69" s="15" t="s">
        <v>77</v>
      </c>
      <c r="D69" s="15" t="s">
        <v>70</v>
      </c>
      <c r="E69" s="16" t="n">
        <v>4.8</v>
      </c>
      <c r="F69" s="17" t="n">
        <v>2288144</v>
      </c>
      <c r="G69" s="17" t="n">
        <v>1554470</v>
      </c>
      <c r="H69" s="15" t="n">
        <v>3</v>
      </c>
      <c r="I69" s="15" t="s">
        <v>67</v>
      </c>
      <c r="J69" s="15" t="n">
        <v>49</v>
      </c>
      <c r="K69" s="17" t="n">
        <v>52899</v>
      </c>
    </row>
    <row r="70" customFormat="false" ht="15" hidden="false" customHeight="false" outlineLevel="0" collapsed="false">
      <c r="A70" s="15" t="s">
        <v>137</v>
      </c>
      <c r="B70" s="15" t="n">
        <v>55</v>
      </c>
      <c r="C70" s="15" t="s">
        <v>62</v>
      </c>
      <c r="D70" s="15" t="s">
        <v>70</v>
      </c>
      <c r="E70" s="16" t="n">
        <v>5</v>
      </c>
      <c r="F70" s="17" t="n">
        <v>55951</v>
      </c>
      <c r="G70" s="17" t="n">
        <v>300000</v>
      </c>
      <c r="H70" s="15" t="n">
        <v>1</v>
      </c>
      <c r="I70" s="15" t="s">
        <v>64</v>
      </c>
      <c r="J70" s="15" t="n">
        <v>18</v>
      </c>
      <c r="K70" s="17" t="n">
        <v>2855</v>
      </c>
    </row>
    <row r="71" customFormat="false" ht="15" hidden="false" customHeight="false" outlineLevel="0" collapsed="false">
      <c r="A71" s="15" t="s">
        <v>138</v>
      </c>
      <c r="B71" s="15" t="n">
        <v>55</v>
      </c>
      <c r="C71" s="15" t="s">
        <v>85</v>
      </c>
      <c r="D71" s="15" t="s">
        <v>70</v>
      </c>
      <c r="E71" s="16" t="n">
        <v>15.3</v>
      </c>
      <c r="F71" s="17" t="n">
        <v>982523</v>
      </c>
      <c r="G71" s="17" t="n">
        <v>817450</v>
      </c>
      <c r="H71" s="15" t="n">
        <v>2</v>
      </c>
      <c r="I71" s="15" t="s">
        <v>64</v>
      </c>
      <c r="J71" s="15" t="n">
        <v>22</v>
      </c>
      <c r="K71" s="17" t="n">
        <v>43684</v>
      </c>
    </row>
    <row r="72" customFormat="false" ht="15" hidden="false" customHeight="false" outlineLevel="0" collapsed="false">
      <c r="A72" s="15" t="s">
        <v>139</v>
      </c>
      <c r="B72" s="15" t="n">
        <v>43</v>
      </c>
      <c r="C72" s="15" t="s">
        <v>62</v>
      </c>
      <c r="D72" s="15" t="s">
        <v>70</v>
      </c>
      <c r="E72" s="16" t="n">
        <v>0.6</v>
      </c>
      <c r="F72" s="17" t="n">
        <v>3569238</v>
      </c>
      <c r="G72" s="17" t="n">
        <v>2772612</v>
      </c>
      <c r="H72" s="15" t="n">
        <v>3</v>
      </c>
      <c r="I72" s="15" t="s">
        <v>64</v>
      </c>
      <c r="J72" s="15" t="n">
        <v>47</v>
      </c>
      <c r="K72" s="17" t="n">
        <v>64538</v>
      </c>
    </row>
    <row r="73" customFormat="false" ht="15" hidden="false" customHeight="false" outlineLevel="0" collapsed="false">
      <c r="A73" s="15" t="s">
        <v>140</v>
      </c>
      <c r="B73" s="15" t="n">
        <v>32</v>
      </c>
      <c r="C73" s="15" t="s">
        <v>77</v>
      </c>
      <c r="D73" s="15" t="s">
        <v>63</v>
      </c>
      <c r="E73" s="16" t="n">
        <v>16.3</v>
      </c>
      <c r="F73" s="17" t="n">
        <v>2704946</v>
      </c>
      <c r="G73" s="17" t="n">
        <v>1196199</v>
      </c>
      <c r="H73" s="15" t="n">
        <v>2</v>
      </c>
      <c r="I73" s="15" t="s">
        <v>64</v>
      </c>
      <c r="J73" s="15" t="n">
        <v>39</v>
      </c>
      <c r="K73" s="17" t="n">
        <v>50659</v>
      </c>
    </row>
    <row r="74" customFormat="false" ht="15" hidden="false" customHeight="false" outlineLevel="0" collapsed="false">
      <c r="A74" s="15" t="s">
        <v>141</v>
      </c>
      <c r="B74" s="15" t="n">
        <v>59</v>
      </c>
      <c r="C74" s="15" t="s">
        <v>66</v>
      </c>
      <c r="D74" s="15" t="s">
        <v>70</v>
      </c>
      <c r="E74" s="16" t="n">
        <v>9.3</v>
      </c>
      <c r="F74" s="17" t="n">
        <v>771069</v>
      </c>
      <c r="G74" s="17" t="n">
        <v>378696</v>
      </c>
      <c r="H74" s="15" t="n">
        <v>2</v>
      </c>
      <c r="I74" s="15" t="s">
        <v>64</v>
      </c>
      <c r="J74" s="15" t="n">
        <v>32</v>
      </c>
      <c r="K74" s="17" t="n">
        <v>17999</v>
      </c>
    </row>
    <row r="75" customFormat="false" ht="15" hidden="false" customHeight="false" outlineLevel="0" collapsed="false">
      <c r="A75" s="15" t="s">
        <v>142</v>
      </c>
      <c r="B75" s="15" t="n">
        <v>40</v>
      </c>
      <c r="C75" s="15" t="s">
        <v>77</v>
      </c>
      <c r="D75" s="15" t="s">
        <v>63</v>
      </c>
      <c r="E75" s="16" t="n">
        <v>15.6</v>
      </c>
      <c r="F75" s="17" t="n">
        <v>1673015</v>
      </c>
      <c r="G75" s="17" t="n">
        <v>2331903</v>
      </c>
      <c r="H75" s="15" t="n">
        <v>3</v>
      </c>
      <c r="I75" s="15" t="s">
        <v>67</v>
      </c>
      <c r="J75" s="15" t="n">
        <v>61</v>
      </c>
      <c r="K75" s="17" t="n">
        <v>97129</v>
      </c>
    </row>
    <row r="76" customFormat="false" ht="15" hidden="false" customHeight="false" outlineLevel="0" collapsed="false">
      <c r="A76" s="15" t="s">
        <v>143</v>
      </c>
      <c r="B76" s="15" t="n">
        <v>32</v>
      </c>
      <c r="C76" s="15" t="s">
        <v>69</v>
      </c>
      <c r="D76" s="15" t="s">
        <v>70</v>
      </c>
      <c r="E76" s="16" t="n">
        <v>12.3</v>
      </c>
      <c r="F76" s="17" t="n">
        <v>1621873</v>
      </c>
      <c r="G76" s="17" t="n">
        <v>0</v>
      </c>
      <c r="H76" s="15" t="n">
        <v>2</v>
      </c>
      <c r="I76" s="15" t="s">
        <v>64</v>
      </c>
      <c r="J76" s="15" t="n">
        <v>42</v>
      </c>
      <c r="K76" s="17" t="n">
        <v>54696</v>
      </c>
    </row>
    <row r="77" customFormat="false" ht="15" hidden="false" customHeight="false" outlineLevel="0" collapsed="false">
      <c r="A77" s="15" t="s">
        <v>144</v>
      </c>
      <c r="B77" s="15" t="n">
        <v>28</v>
      </c>
      <c r="C77" s="15" t="s">
        <v>77</v>
      </c>
      <c r="D77" s="15" t="s">
        <v>63</v>
      </c>
      <c r="E77" s="16" t="n">
        <v>17.1</v>
      </c>
      <c r="F77" s="17" t="n">
        <v>1457549</v>
      </c>
      <c r="G77" s="17" t="n">
        <v>1627211</v>
      </c>
      <c r="H77" s="15" t="n">
        <v>3</v>
      </c>
      <c r="I77" s="15" t="s">
        <v>64</v>
      </c>
      <c r="J77" s="15" t="n">
        <v>53</v>
      </c>
      <c r="K77" s="17" t="n">
        <v>94797</v>
      </c>
    </row>
    <row r="78" customFormat="false" ht="15" hidden="false" customHeight="false" outlineLevel="0" collapsed="false">
      <c r="A78" s="15" t="s">
        <v>145</v>
      </c>
      <c r="B78" s="15" t="n">
        <v>35</v>
      </c>
      <c r="C78" s="15" t="s">
        <v>85</v>
      </c>
      <c r="D78" s="15" t="s">
        <v>74</v>
      </c>
      <c r="E78" s="16" t="n">
        <v>16</v>
      </c>
      <c r="F78" s="17" t="n">
        <v>1636340</v>
      </c>
      <c r="G78" s="17" t="n">
        <v>1915913</v>
      </c>
      <c r="H78" s="15" t="n">
        <v>2</v>
      </c>
      <c r="I78" s="15" t="s">
        <v>64</v>
      </c>
      <c r="J78" s="15" t="n">
        <v>43</v>
      </c>
      <c r="K78" s="17" t="n">
        <v>50173</v>
      </c>
    </row>
    <row r="79" customFormat="false" ht="15" hidden="false" customHeight="false" outlineLevel="0" collapsed="false">
      <c r="A79" s="15" t="s">
        <v>146</v>
      </c>
      <c r="B79" s="15" t="n">
        <v>49</v>
      </c>
      <c r="C79" s="15" t="s">
        <v>77</v>
      </c>
      <c r="D79" s="15" t="s">
        <v>63</v>
      </c>
      <c r="E79" s="16" t="n">
        <v>10</v>
      </c>
      <c r="F79" s="17" t="n">
        <v>2186599</v>
      </c>
      <c r="G79" s="17" t="n">
        <v>2142562</v>
      </c>
      <c r="H79" s="15" t="n">
        <v>3</v>
      </c>
      <c r="I79" s="15" t="s">
        <v>67</v>
      </c>
      <c r="J79" s="15" t="n">
        <v>34</v>
      </c>
      <c r="K79" s="17" t="n">
        <v>93956</v>
      </c>
    </row>
    <row r="80" customFormat="false" ht="15" hidden="false" customHeight="false" outlineLevel="0" collapsed="false">
      <c r="A80" s="15" t="s">
        <v>147</v>
      </c>
      <c r="B80" s="15" t="n">
        <v>62</v>
      </c>
      <c r="C80" s="15" t="s">
        <v>77</v>
      </c>
      <c r="D80" s="15" t="s">
        <v>63</v>
      </c>
      <c r="E80" s="16" t="n">
        <v>4.1</v>
      </c>
      <c r="F80" s="17" t="n">
        <v>2220262</v>
      </c>
      <c r="G80" s="17" t="n">
        <v>2897309</v>
      </c>
      <c r="H80" s="15" t="n">
        <v>4</v>
      </c>
      <c r="I80" s="15" t="s">
        <v>67</v>
      </c>
      <c r="J80" s="15" t="n">
        <v>50</v>
      </c>
      <c r="K80" s="17" t="n">
        <v>133255</v>
      </c>
    </row>
    <row r="81" customFormat="false" ht="15" hidden="false" customHeight="false" outlineLevel="0" collapsed="false">
      <c r="A81" s="15" t="s">
        <v>148</v>
      </c>
      <c r="B81" s="15" t="n">
        <v>42</v>
      </c>
      <c r="C81" s="15" t="s">
        <v>77</v>
      </c>
      <c r="D81" s="15" t="s">
        <v>74</v>
      </c>
      <c r="E81" s="16" t="n">
        <v>14.5</v>
      </c>
      <c r="F81" s="17" t="n">
        <v>1352139</v>
      </c>
      <c r="G81" s="17" t="n">
        <v>977959</v>
      </c>
      <c r="H81" s="15" t="n">
        <v>1</v>
      </c>
      <c r="I81" s="15" t="s">
        <v>64</v>
      </c>
      <c r="J81" s="15" t="n">
        <v>24</v>
      </c>
      <c r="K81" s="17" t="n">
        <v>24226</v>
      </c>
    </row>
    <row r="82" customFormat="false" ht="15" hidden="false" customHeight="false" outlineLevel="0" collapsed="false">
      <c r="A82" s="15" t="s">
        <v>149</v>
      </c>
      <c r="B82" s="15" t="n">
        <v>33</v>
      </c>
      <c r="C82" s="15" t="s">
        <v>85</v>
      </c>
      <c r="D82" s="15" t="s">
        <v>74</v>
      </c>
      <c r="E82" s="16" t="n">
        <v>13.5</v>
      </c>
      <c r="F82" s="17" t="n">
        <v>1631838</v>
      </c>
      <c r="G82" s="17" t="n">
        <v>1873533</v>
      </c>
      <c r="H82" s="15" t="n">
        <v>1</v>
      </c>
      <c r="I82" s="15" t="s">
        <v>64</v>
      </c>
      <c r="J82" s="15" t="n">
        <v>47</v>
      </c>
      <c r="K82" s="17" t="n">
        <v>71198</v>
      </c>
    </row>
    <row r="83" customFormat="false" ht="15" hidden="false" customHeight="false" outlineLevel="0" collapsed="false">
      <c r="A83" s="15" t="s">
        <v>150</v>
      </c>
      <c r="B83" s="15" t="n">
        <v>55</v>
      </c>
      <c r="C83" s="15" t="s">
        <v>66</v>
      </c>
      <c r="D83" s="15" t="s">
        <v>70</v>
      </c>
      <c r="E83" s="16" t="n">
        <v>11.8</v>
      </c>
      <c r="F83" s="17" t="n">
        <v>124039</v>
      </c>
      <c r="G83" s="17" t="n">
        <v>300000</v>
      </c>
      <c r="H83" s="15" t="n">
        <v>1</v>
      </c>
      <c r="I83" s="15" t="s">
        <v>64</v>
      </c>
      <c r="J83" s="15" t="n">
        <v>29</v>
      </c>
      <c r="K83" s="17" t="n">
        <v>5020</v>
      </c>
    </row>
  </sheetData>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6" min="2" style="0" width="11"/>
    <col collapsed="false" customWidth="true" hidden="false" outlineLevel="0" max="8" min="7" style="0" width="16"/>
    <col collapsed="false" customWidth="true" hidden="false" outlineLevel="0" max="9" min="9" style="0" width="18"/>
    <col collapsed="false" customWidth="true" hidden="false" outlineLevel="0" max="10" min="10" style="0" width="32"/>
  </cols>
  <sheetData>
    <row r="1" customFormat="false" ht="21.75" hidden="false" customHeight="true" outlineLevel="0" collapsed="false">
      <c r="A1" s="1" t="s">
        <v>151</v>
      </c>
      <c r="B1" s="1"/>
      <c r="C1" s="1"/>
      <c r="D1" s="1"/>
      <c r="E1" s="1"/>
      <c r="F1" s="1"/>
      <c r="G1" s="1"/>
      <c r="H1" s="1"/>
      <c r="I1" s="1"/>
      <c r="J1" s="1"/>
    </row>
    <row r="3" customFormat="false" ht="23.85" hidden="false" customHeight="false" outlineLevel="0" collapsed="false">
      <c r="A3" s="6" t="s">
        <v>50</v>
      </c>
      <c r="B3" s="6" t="s">
        <v>152</v>
      </c>
      <c r="C3" s="6" t="s">
        <v>153</v>
      </c>
      <c r="D3" s="6" t="s">
        <v>154</v>
      </c>
      <c r="E3" s="6" t="s">
        <v>155</v>
      </c>
      <c r="F3" s="6" t="s">
        <v>156</v>
      </c>
      <c r="G3" s="6" t="s">
        <v>157</v>
      </c>
      <c r="H3" s="6" t="s">
        <v>158</v>
      </c>
      <c r="I3" s="6" t="s">
        <v>159</v>
      </c>
      <c r="J3" s="6" t="s">
        <v>160</v>
      </c>
    </row>
    <row r="4" customFormat="false" ht="15" hidden="false" customHeight="false" outlineLevel="0" collapsed="false">
      <c r="A4" s="18" t="str">
        <f aca="false">Customer_Data!A4</f>
        <v>CUST-1001</v>
      </c>
      <c r="B4" s="19" t="n">
        <f aca="false">MIN(Customer_Data!F4/Tier_Criteria!$C$5*100,100)</f>
        <v>93.5377</v>
      </c>
      <c r="C4" s="19" t="n">
        <f aca="false">MIN(Customer_Data!G4/Tier_Criteria!$C$6*100,100)</f>
        <v>44.6976944444444</v>
      </c>
      <c r="D4" s="19" t="n">
        <f aca="false">MIN(Customer_Data!H4/Tier_Criteria!$C$7*100,100)</f>
        <v>16.6666666666667</v>
      </c>
      <c r="E4" s="19" t="n">
        <f aca="false">MIN(Customer_Data!J4/Tier_Criteria!$C$8*100,100)</f>
        <v>29</v>
      </c>
      <c r="F4" s="19" t="n">
        <f aca="false">MIN(Customer_Data!K4/Tier_Criteria!$C$9*100,100)</f>
        <v>30.2773333333333</v>
      </c>
      <c r="G4" s="19" t="n">
        <f aca="false">B4*Tier_Criteria!$B$5+C4*Tier_Criteria!$B$6+D4*Tier_Criteria!$B$7+E4*Tier_Criteria!$B$8+F4*Tier_Criteria!$B$9</f>
        <v>53.8542186111111</v>
      </c>
      <c r="H4" s="13" t="str">
        <f aca="false">INDEX(Tier_Criteria!$A$15:$A$18,MATCH(G4,Tier_Criteria!$B$15:$B$18,1))</f>
        <v>Mass Affluent</v>
      </c>
      <c r="I4" s="18" t="str">
        <f aca="false">Customer_Data!I4</f>
        <v>N</v>
      </c>
      <c r="J4" s="13" t="str">
        <f aca="false">IF(AND(OR(H4="HNI",H4="UHNI"),I4="N"),"High Priority - No Investment Product",IF(AND(H4="Mass Affluent",I4="N"),"Medium Priority - Entry Wealth Product","Standard / Retain"))</f>
        <v>Medium Priority - Entry Wealth Product</v>
      </c>
    </row>
    <row r="5" customFormat="false" ht="15" hidden="false" customHeight="false" outlineLevel="0" collapsed="false">
      <c r="A5" s="18" t="str">
        <f aca="false">Customer_Data!A5</f>
        <v>CUST-1002</v>
      </c>
      <c r="B5" s="19" t="n">
        <f aca="false">MIN(Customer_Data!F5/Tier_Criteria!$C$5*100,100)</f>
        <v>100</v>
      </c>
      <c r="C5" s="19" t="n">
        <f aca="false">MIN(Customer_Data!G5/Tier_Criteria!$C$6*100,100)</f>
        <v>35.9301388888889</v>
      </c>
      <c r="D5" s="19" t="n">
        <f aca="false">MIN(Customer_Data!H5/Tier_Criteria!$C$7*100,100)</f>
        <v>66.6666666666667</v>
      </c>
      <c r="E5" s="19" t="n">
        <f aca="false">MIN(Customer_Data!J5/Tier_Criteria!$C$8*100,100)</f>
        <v>52</v>
      </c>
      <c r="F5" s="19" t="n">
        <f aca="false">MIN(Customer_Data!K5/Tier_Criteria!$C$9*100,100)</f>
        <v>42.63</v>
      </c>
      <c r="G5" s="19" t="n">
        <f aca="false">B5*Tier_Criteria!$B$5+C5*Tier_Criteria!$B$6+D5*Tier_Criteria!$B$7+E5*Tier_Criteria!$B$8+F5*Tier_Criteria!$B$9</f>
        <v>65.5770347222222</v>
      </c>
      <c r="H5" s="13" t="str">
        <f aca="false">INDEX(Tier_Criteria!$A$15:$A$18,MATCH(G5,Tier_Criteria!$B$15:$B$18,1))</f>
        <v>HNI</v>
      </c>
      <c r="I5" s="18" t="str">
        <f aca="false">Customer_Data!I5</f>
        <v>Y</v>
      </c>
      <c r="J5" s="13" t="str">
        <f aca="false">IF(AND(OR(H5="HNI",H5="UHNI"),I5="N"),"High Priority - No Investment Product",IF(AND(H5="Mass Affluent",I5="N"),"Medium Priority - Entry Wealth Product","Standard / Retain"))</f>
        <v>Standard / Retain</v>
      </c>
    </row>
    <row r="6" customFormat="false" ht="15" hidden="false" customHeight="false" outlineLevel="0" collapsed="false">
      <c r="A6" s="18" t="str">
        <f aca="false">Customer_Data!A6</f>
        <v>CUST-1003</v>
      </c>
      <c r="B6" s="19" t="n">
        <f aca="false">MIN(Customer_Data!F6/Tier_Criteria!$C$5*100,100)</f>
        <v>31.0169</v>
      </c>
      <c r="C6" s="19" t="n">
        <f aca="false">MIN(Customer_Data!G6/Tier_Criteria!$C$6*100,100)</f>
        <v>0</v>
      </c>
      <c r="D6" s="19" t="n">
        <f aca="false">MIN(Customer_Data!H6/Tier_Criteria!$C$7*100,100)</f>
        <v>16.6666666666667</v>
      </c>
      <c r="E6" s="19" t="n">
        <f aca="false">MIN(Customer_Data!J6/Tier_Criteria!$C$8*100,100)</f>
        <v>37</v>
      </c>
      <c r="F6" s="19" t="n">
        <f aca="false">MIN(Customer_Data!K6/Tier_Criteria!$C$9*100,100)</f>
        <v>10.2833333333333</v>
      </c>
      <c r="G6" s="19" t="n">
        <f aca="false">B6*Tier_Criteria!$B$5+C6*Tier_Criteria!$B$6+D6*Tier_Criteria!$B$7+E6*Tier_Criteria!$B$8+F6*Tier_Criteria!$B$9</f>
        <v>18.598415</v>
      </c>
      <c r="H6" s="13" t="str">
        <f aca="false">INDEX(Tier_Criteria!$A$15:$A$18,MATCH(G6,Tier_Criteria!$B$15:$B$18,1))</f>
        <v>Mass</v>
      </c>
      <c r="I6" s="18" t="str">
        <f aca="false">Customer_Data!I6</f>
        <v>N</v>
      </c>
      <c r="J6" s="13" t="str">
        <f aca="false">IF(AND(OR(H6="HNI",H6="UHNI"),I6="N"),"High Priority - No Investment Product",IF(AND(H6="Mass Affluent",I6="N"),"Medium Priority - Entry Wealth Product","Standard / Retain"))</f>
        <v>Standard / Retain</v>
      </c>
    </row>
    <row r="7" customFormat="false" ht="15" hidden="false" customHeight="false" outlineLevel="0" collapsed="false">
      <c r="A7" s="18" t="str">
        <f aca="false">Customer_Data!A7</f>
        <v>CUST-1004</v>
      </c>
      <c r="B7" s="19" t="n">
        <f aca="false">MIN(Customer_Data!F7/Tier_Criteria!$C$5*100,100)</f>
        <v>100</v>
      </c>
      <c r="C7" s="19" t="n">
        <f aca="false">MIN(Customer_Data!G7/Tier_Criteria!$C$6*100,100)</f>
        <v>79.9338888888889</v>
      </c>
      <c r="D7" s="19" t="n">
        <f aca="false">MIN(Customer_Data!H7/Tier_Criteria!$C$7*100,100)</f>
        <v>66.6666666666667</v>
      </c>
      <c r="E7" s="19" t="n">
        <f aca="false">MIN(Customer_Data!J7/Tier_Criteria!$C$8*100,100)</f>
        <v>47</v>
      </c>
      <c r="F7" s="19" t="n">
        <f aca="false">MIN(Customer_Data!K7/Tier_Criteria!$C$9*100,100)</f>
        <v>51.392</v>
      </c>
      <c r="G7" s="19" t="n">
        <f aca="false">B7*Tier_Criteria!$B$5+C7*Tier_Criteria!$B$6+D7*Tier_Criteria!$B$7+E7*Tier_Criteria!$B$8+F7*Tier_Criteria!$B$9</f>
        <v>77.3922722222222</v>
      </c>
      <c r="H7" s="13" t="str">
        <f aca="false">INDEX(Tier_Criteria!$A$15:$A$18,MATCH(G7,Tier_Criteria!$B$15:$B$18,1))</f>
        <v>HNI</v>
      </c>
      <c r="I7" s="18" t="str">
        <f aca="false">Customer_Data!I7</f>
        <v>N</v>
      </c>
      <c r="J7" s="13" t="str">
        <f aca="false">IF(AND(OR(H7="HNI",H7="UHNI"),I7="N"),"High Priority - No Investment Product",IF(AND(H7="Mass Affluent",I7="N"),"Medium Priority - Entry Wealth Product","Standard / Retain"))</f>
        <v>High Priority - No Investment Product</v>
      </c>
    </row>
    <row r="8" customFormat="false" ht="15" hidden="false" customHeight="false" outlineLevel="0" collapsed="false">
      <c r="A8" s="18" t="str">
        <f aca="false">Customer_Data!A8</f>
        <v>CUST-1005</v>
      </c>
      <c r="B8" s="19" t="n">
        <f aca="false">MIN(Customer_Data!F8/Tier_Criteria!$C$5*100,100)</f>
        <v>49.0377</v>
      </c>
      <c r="C8" s="19" t="n">
        <f aca="false">MIN(Customer_Data!G8/Tier_Criteria!$C$6*100,100)</f>
        <v>0</v>
      </c>
      <c r="D8" s="19" t="n">
        <f aca="false">MIN(Customer_Data!H8/Tier_Criteria!$C$7*100,100)</f>
        <v>16.6666666666667</v>
      </c>
      <c r="E8" s="19" t="n">
        <f aca="false">MIN(Customer_Data!J8/Tier_Criteria!$C$8*100,100)</f>
        <v>23</v>
      </c>
      <c r="F8" s="19" t="n">
        <f aca="false">MIN(Customer_Data!K8/Tier_Criteria!$C$9*100,100)</f>
        <v>26.168</v>
      </c>
      <c r="G8" s="19" t="n">
        <f aca="false">B8*Tier_Criteria!$B$5+C8*Tier_Criteria!$B$6+D8*Tier_Criteria!$B$7+E8*Tier_Criteria!$B$8+F8*Tier_Criteria!$B$9</f>
        <v>25.888395</v>
      </c>
      <c r="H8" s="13" t="str">
        <f aca="false">INDEX(Tier_Criteria!$A$15:$A$18,MATCH(G8,Tier_Criteria!$B$15:$B$18,1))</f>
        <v>Mass</v>
      </c>
      <c r="I8" s="18" t="str">
        <f aca="false">Customer_Data!I8</f>
        <v>N</v>
      </c>
      <c r="J8" s="13" t="str">
        <f aca="false">IF(AND(OR(H8="HNI",H8="UHNI"),I8="N"),"High Priority - No Investment Product",IF(AND(H8="Mass Affluent",I8="N"),"Medium Priority - Entry Wealth Product","Standard / Retain"))</f>
        <v>Standard / Retain</v>
      </c>
    </row>
    <row r="9" customFormat="false" ht="15" hidden="false" customHeight="false" outlineLevel="0" collapsed="false">
      <c r="A9" s="18" t="str">
        <f aca="false">Customer_Data!A9</f>
        <v>CUST-1006</v>
      </c>
      <c r="B9" s="19" t="n">
        <f aca="false">MIN(Customer_Data!F9/Tier_Criteria!$C$5*100,100)</f>
        <v>100</v>
      </c>
      <c r="C9" s="19" t="n">
        <f aca="false">MIN(Customer_Data!G9/Tier_Criteria!$C$6*100,100)</f>
        <v>66.8356944444444</v>
      </c>
      <c r="D9" s="19" t="n">
        <f aca="false">MIN(Customer_Data!H9/Tier_Criteria!$C$7*100,100)</f>
        <v>66.6666666666667</v>
      </c>
      <c r="E9" s="19" t="n">
        <f aca="false">MIN(Customer_Data!J9/Tier_Criteria!$C$8*100,100)</f>
        <v>81</v>
      </c>
      <c r="F9" s="19" t="n">
        <f aca="false">MIN(Customer_Data!K9/Tier_Criteria!$C$9*100,100)</f>
        <v>67.5353333333333</v>
      </c>
      <c r="G9" s="19" t="n">
        <f aca="false">B9*Tier_Criteria!$B$5+C9*Tier_Criteria!$B$6+D9*Tier_Criteria!$B$7+E9*Tier_Criteria!$B$8+F9*Tier_Criteria!$B$9</f>
        <v>79.9392236111111</v>
      </c>
      <c r="H9" s="13" t="str">
        <f aca="false">INDEX(Tier_Criteria!$A$15:$A$18,MATCH(G9,Tier_Criteria!$B$15:$B$18,1))</f>
        <v>HNI</v>
      </c>
      <c r="I9" s="18" t="str">
        <f aca="false">Customer_Data!I9</f>
        <v>N</v>
      </c>
      <c r="J9" s="13" t="str">
        <f aca="false">IF(AND(OR(H9="HNI",H9="UHNI"),I9="N"),"High Priority - No Investment Product",IF(AND(H9="Mass Affluent",I9="N"),"Medium Priority - Entry Wealth Product","Standard / Retain"))</f>
        <v>High Priority - No Investment Product</v>
      </c>
    </row>
    <row r="10" customFormat="false" ht="15" hidden="false" customHeight="false" outlineLevel="0" collapsed="false">
      <c r="A10" s="18" t="str">
        <f aca="false">Customer_Data!A10</f>
        <v>CUST-1007</v>
      </c>
      <c r="B10" s="19" t="n">
        <f aca="false">MIN(Customer_Data!F10/Tier_Criteria!$C$5*100,100)</f>
        <v>100</v>
      </c>
      <c r="C10" s="19" t="n">
        <f aca="false">MIN(Customer_Data!G10/Tier_Criteria!$C$6*100,100)</f>
        <v>85.0683333333333</v>
      </c>
      <c r="D10" s="19" t="n">
        <f aca="false">MIN(Customer_Data!H10/Tier_Criteria!$C$7*100,100)</f>
        <v>50</v>
      </c>
      <c r="E10" s="19" t="n">
        <f aca="false">MIN(Customer_Data!J10/Tier_Criteria!$C$8*100,100)</f>
        <v>56</v>
      </c>
      <c r="F10" s="19" t="n">
        <f aca="false">MIN(Customer_Data!K10/Tier_Criteria!$C$9*100,100)</f>
        <v>96.5646666666667</v>
      </c>
      <c r="G10" s="19" t="n">
        <f aca="false">B10*Tier_Criteria!$B$5+C10*Tier_Criteria!$B$6+D10*Tier_Criteria!$B$7+E10*Tier_Criteria!$B$8+F10*Tier_Criteria!$B$9</f>
        <v>83.8517833333333</v>
      </c>
      <c r="H10" s="13" t="str">
        <f aca="false">INDEX(Tier_Criteria!$A$15:$A$18,MATCH(G10,Tier_Criteria!$B$15:$B$18,1))</f>
        <v>HNI</v>
      </c>
      <c r="I10" s="18" t="str">
        <f aca="false">Customer_Data!I10</f>
        <v>Y</v>
      </c>
      <c r="J10" s="13" t="str">
        <f aca="false">IF(AND(OR(H10="HNI",H10="UHNI"),I10="N"),"High Priority - No Investment Product",IF(AND(H10="Mass Affluent",I10="N"),"Medium Priority - Entry Wealth Product","Standard / Retain"))</f>
        <v>Standard / Retain</v>
      </c>
    </row>
    <row r="11" customFormat="false" ht="15" hidden="false" customHeight="false" outlineLevel="0" collapsed="false">
      <c r="A11" s="18" t="str">
        <f aca="false">Customer_Data!A11</f>
        <v>CUST-1008</v>
      </c>
      <c r="B11" s="19" t="n">
        <f aca="false">MIN(Customer_Data!F11/Tier_Criteria!$C$5*100,100)</f>
        <v>15.7346</v>
      </c>
      <c r="C11" s="19" t="n">
        <f aca="false">MIN(Customer_Data!G11/Tier_Criteria!$C$6*100,100)</f>
        <v>8.33333333333333</v>
      </c>
      <c r="D11" s="19" t="n">
        <f aca="false">MIN(Customer_Data!H11/Tier_Criteria!$C$7*100,100)</f>
        <v>16.6666666666667</v>
      </c>
      <c r="E11" s="19" t="n">
        <f aca="false">MIN(Customer_Data!J11/Tier_Criteria!$C$8*100,100)</f>
        <v>34</v>
      </c>
      <c r="F11" s="19" t="n">
        <f aca="false">MIN(Customer_Data!K11/Tier_Criteria!$C$9*100,100)</f>
        <v>7.574</v>
      </c>
      <c r="G11" s="19" t="n">
        <f aca="false">B11*Tier_Criteria!$B$5+C11*Tier_Criteria!$B$6+D11*Tier_Criteria!$B$7+E11*Tier_Criteria!$B$8+F11*Tier_Criteria!$B$9</f>
        <v>14.6265433333333</v>
      </c>
      <c r="H11" s="13" t="str">
        <f aca="false">INDEX(Tier_Criteria!$A$15:$A$18,MATCH(G11,Tier_Criteria!$B$15:$B$18,1))</f>
        <v>Mass</v>
      </c>
      <c r="I11" s="18" t="str">
        <f aca="false">Customer_Data!I11</f>
        <v>N</v>
      </c>
      <c r="J11" s="13" t="str">
        <f aca="false">IF(AND(OR(H11="HNI",H11="UHNI"),I11="N"),"High Priority - No Investment Product",IF(AND(H11="Mass Affluent",I11="N"),"Medium Priority - Entry Wealth Product","Standard / Retain"))</f>
        <v>Standard / Retain</v>
      </c>
    </row>
    <row r="12" customFormat="false" ht="15" hidden="false" customHeight="false" outlineLevel="0" collapsed="false">
      <c r="A12" s="18" t="str">
        <f aca="false">Customer_Data!A12</f>
        <v>CUST-1009</v>
      </c>
      <c r="B12" s="19" t="n">
        <f aca="false">MIN(Customer_Data!F12/Tier_Criteria!$C$5*100,100)</f>
        <v>75.14105</v>
      </c>
      <c r="C12" s="19" t="n">
        <f aca="false">MIN(Customer_Data!G12/Tier_Criteria!$C$6*100,100)</f>
        <v>34.8412777777778</v>
      </c>
      <c r="D12" s="19" t="n">
        <f aca="false">MIN(Customer_Data!H12/Tier_Criteria!$C$7*100,100)</f>
        <v>50</v>
      </c>
      <c r="E12" s="19" t="n">
        <f aca="false">MIN(Customer_Data!J12/Tier_Criteria!$C$8*100,100)</f>
        <v>50</v>
      </c>
      <c r="F12" s="19" t="n">
        <f aca="false">MIN(Customer_Data!K12/Tier_Criteria!$C$9*100,100)</f>
        <v>27.5453333333333</v>
      </c>
      <c r="G12" s="19" t="n">
        <f aca="false">B12*Tier_Criteria!$B$5+C12*Tier_Criteria!$B$6+D12*Tier_Criteria!$B$7+E12*Tier_Criteria!$B$8+F12*Tier_Criteria!$B$9</f>
        <v>51.6414869444444</v>
      </c>
      <c r="H12" s="13" t="str">
        <f aca="false">INDEX(Tier_Criteria!$A$15:$A$18,MATCH(G12,Tier_Criteria!$B$15:$B$18,1))</f>
        <v>Mass Affluent</v>
      </c>
      <c r="I12" s="18" t="str">
        <f aca="false">Customer_Data!I12</f>
        <v>N</v>
      </c>
      <c r="J12" s="13" t="str">
        <f aca="false">IF(AND(OR(H12="HNI",H12="UHNI"),I12="N"),"High Priority - No Investment Product",IF(AND(H12="Mass Affluent",I12="N"),"Medium Priority - Entry Wealth Product","Standard / Retain"))</f>
        <v>Medium Priority - Entry Wealth Product</v>
      </c>
    </row>
    <row r="13" customFormat="false" ht="15" hidden="false" customHeight="false" outlineLevel="0" collapsed="false">
      <c r="A13" s="18" t="str">
        <f aca="false">Customer_Data!A13</f>
        <v>CUST-1010</v>
      </c>
      <c r="B13" s="19" t="n">
        <f aca="false">MIN(Customer_Data!F13/Tier_Criteria!$C$5*100,100)</f>
        <v>100</v>
      </c>
      <c r="C13" s="19" t="n">
        <f aca="false">MIN(Customer_Data!G13/Tier_Criteria!$C$6*100,100)</f>
        <v>85.0952222222222</v>
      </c>
      <c r="D13" s="19" t="n">
        <f aca="false">MIN(Customer_Data!H13/Tier_Criteria!$C$7*100,100)</f>
        <v>66.6666666666667</v>
      </c>
      <c r="E13" s="19" t="n">
        <f aca="false">MIN(Customer_Data!J13/Tier_Criteria!$C$8*100,100)</f>
        <v>54</v>
      </c>
      <c r="F13" s="19" t="n">
        <f aca="false">MIN(Customer_Data!K13/Tier_Criteria!$C$9*100,100)</f>
        <v>37.5086666666667</v>
      </c>
      <c r="G13" s="19" t="n">
        <f aca="false">B13*Tier_Criteria!$B$5+C13*Tier_Criteria!$B$6+D13*Tier_Criteria!$B$7+E13*Tier_Criteria!$B$8+F13*Tier_Criteria!$B$9</f>
        <v>77.3001055555556</v>
      </c>
      <c r="H13" s="13" t="str">
        <f aca="false">INDEX(Tier_Criteria!$A$15:$A$18,MATCH(G13,Tier_Criteria!$B$15:$B$18,1))</f>
        <v>HNI</v>
      </c>
      <c r="I13" s="18" t="str">
        <f aca="false">Customer_Data!I13</f>
        <v>Y</v>
      </c>
      <c r="J13" s="13" t="str">
        <f aca="false">IF(AND(OR(H13="HNI",H13="UHNI"),I13="N"),"High Priority - No Investment Product",IF(AND(H13="Mass Affluent",I13="N"),"Medium Priority - Entry Wealth Product","Standard / Retain"))</f>
        <v>Standard / Retain</v>
      </c>
    </row>
    <row r="14" customFormat="false" ht="15" hidden="false" customHeight="false" outlineLevel="0" collapsed="false">
      <c r="A14" s="18" t="str">
        <f aca="false">Customer_Data!A14</f>
        <v>CUST-1011</v>
      </c>
      <c r="B14" s="19" t="n">
        <f aca="false">MIN(Customer_Data!F14/Tier_Criteria!$C$5*100,100)</f>
        <v>100</v>
      </c>
      <c r="C14" s="19" t="n">
        <f aca="false">MIN(Customer_Data!G14/Tier_Criteria!$C$6*100,100)</f>
        <v>100</v>
      </c>
      <c r="D14" s="19" t="n">
        <f aca="false">MIN(Customer_Data!H14/Tier_Criteria!$C$7*100,100)</f>
        <v>83.3333333333333</v>
      </c>
      <c r="E14" s="19" t="n">
        <f aca="false">MIN(Customer_Data!J14/Tier_Criteria!$C$8*100,100)</f>
        <v>80</v>
      </c>
      <c r="F14" s="19" t="n">
        <f aca="false">MIN(Customer_Data!K14/Tier_Criteria!$C$9*100,100)</f>
        <v>100</v>
      </c>
      <c r="G14" s="19" t="n">
        <f aca="false">B14*Tier_Criteria!$B$5+C14*Tier_Criteria!$B$6+D14*Tier_Criteria!$B$7+E14*Tier_Criteria!$B$8+F14*Tier_Criteria!$B$9</f>
        <v>95.5</v>
      </c>
      <c r="H14" s="13" t="str">
        <f aca="false">INDEX(Tier_Criteria!$A$15:$A$18,MATCH(G14,Tier_Criteria!$B$15:$B$18,1))</f>
        <v>UHNI</v>
      </c>
      <c r="I14" s="18" t="str">
        <f aca="false">Customer_Data!I14</f>
        <v>Y</v>
      </c>
      <c r="J14" s="13" t="str">
        <f aca="false">IF(AND(OR(H14="HNI",H14="UHNI"),I14="N"),"High Priority - No Investment Product",IF(AND(H14="Mass Affluent",I14="N"),"Medium Priority - Entry Wealth Product","Standard / Retain"))</f>
        <v>Standard / Retain</v>
      </c>
    </row>
    <row r="15" customFormat="false" ht="15" hidden="false" customHeight="false" outlineLevel="0" collapsed="false">
      <c r="A15" s="18" t="str">
        <f aca="false">Customer_Data!A15</f>
        <v>CUST-1012</v>
      </c>
      <c r="B15" s="19" t="n">
        <f aca="false">MIN(Customer_Data!F15/Tier_Criteria!$C$5*100,100)</f>
        <v>30.2029</v>
      </c>
      <c r="C15" s="19" t="n">
        <f aca="false">MIN(Customer_Data!G15/Tier_Criteria!$C$6*100,100)</f>
        <v>23.4711388888889</v>
      </c>
      <c r="D15" s="19" t="n">
        <f aca="false">MIN(Customer_Data!H15/Tier_Criteria!$C$7*100,100)</f>
        <v>33.3333333333333</v>
      </c>
      <c r="E15" s="19" t="n">
        <f aca="false">MIN(Customer_Data!J15/Tier_Criteria!$C$8*100,100)</f>
        <v>23</v>
      </c>
      <c r="F15" s="19" t="n">
        <f aca="false">MIN(Customer_Data!K15/Tier_Criteria!$C$9*100,100)</f>
        <v>15.89</v>
      </c>
      <c r="G15" s="19" t="n">
        <f aca="false">B15*Tier_Criteria!$B$5+C15*Tier_Criteria!$B$6+D15*Tier_Criteria!$B$7+E15*Tier_Criteria!$B$8+F15*Tier_Criteria!$B$9</f>
        <v>26.1222997222222</v>
      </c>
      <c r="H15" s="13" t="str">
        <f aca="false">INDEX(Tier_Criteria!$A$15:$A$18,MATCH(G15,Tier_Criteria!$B$15:$B$18,1))</f>
        <v>Mass</v>
      </c>
      <c r="I15" s="18" t="str">
        <f aca="false">Customer_Data!I15</f>
        <v>N</v>
      </c>
      <c r="J15" s="13" t="str">
        <f aca="false">IF(AND(OR(H15="HNI",H15="UHNI"),I15="N"),"High Priority - No Investment Product",IF(AND(H15="Mass Affluent",I15="N"),"Medium Priority - Entry Wealth Product","Standard / Retain"))</f>
        <v>Standard / Retain</v>
      </c>
    </row>
    <row r="16" customFormat="false" ht="15" hidden="false" customHeight="false" outlineLevel="0" collapsed="false">
      <c r="A16" s="18" t="str">
        <f aca="false">Customer_Data!A16</f>
        <v>CUST-1013</v>
      </c>
      <c r="B16" s="19" t="n">
        <f aca="false">MIN(Customer_Data!F16/Tier_Criteria!$C$5*100,100)</f>
        <v>13.0262</v>
      </c>
      <c r="C16" s="19" t="n">
        <f aca="false">MIN(Customer_Data!G16/Tier_Criteria!$C$6*100,100)</f>
        <v>8.33333333333333</v>
      </c>
      <c r="D16" s="19" t="n">
        <f aca="false">MIN(Customer_Data!H16/Tier_Criteria!$C$7*100,100)</f>
        <v>16.6666666666667</v>
      </c>
      <c r="E16" s="19" t="n">
        <f aca="false">MIN(Customer_Data!J16/Tier_Criteria!$C$8*100,100)</f>
        <v>5</v>
      </c>
      <c r="F16" s="19" t="n">
        <f aca="false">MIN(Customer_Data!K16/Tier_Criteria!$C$9*100,100)</f>
        <v>4.17333333333333</v>
      </c>
      <c r="G16" s="19" t="n">
        <f aca="false">B16*Tier_Criteria!$B$5+C16*Tier_Criteria!$B$6+D16*Tier_Criteria!$B$7+E16*Tier_Criteria!$B$8+F16*Tier_Criteria!$B$9</f>
        <v>10.2685033333333</v>
      </c>
      <c r="H16" s="13" t="str">
        <f aca="false">INDEX(Tier_Criteria!$A$15:$A$18,MATCH(G16,Tier_Criteria!$B$15:$B$18,1))</f>
        <v>Mass</v>
      </c>
      <c r="I16" s="18" t="str">
        <f aca="false">Customer_Data!I16</f>
        <v>N</v>
      </c>
      <c r="J16" s="13" t="str">
        <f aca="false">IF(AND(OR(H16="HNI",H16="UHNI"),I16="N"),"High Priority - No Investment Product",IF(AND(H16="Mass Affluent",I16="N"),"Medium Priority - Entry Wealth Product","Standard / Retain"))</f>
        <v>Standard / Retain</v>
      </c>
    </row>
    <row r="17" customFormat="false" ht="15" hidden="false" customHeight="false" outlineLevel="0" collapsed="false">
      <c r="A17" s="18" t="str">
        <f aca="false">Customer_Data!A17</f>
        <v>CUST-1014</v>
      </c>
      <c r="B17" s="19" t="n">
        <f aca="false">MIN(Customer_Data!F17/Tier_Criteria!$C$5*100,100)</f>
        <v>61.23325</v>
      </c>
      <c r="C17" s="19" t="n">
        <f aca="false">MIN(Customer_Data!G17/Tier_Criteria!$C$6*100,100)</f>
        <v>16.3258055555556</v>
      </c>
      <c r="D17" s="19" t="n">
        <f aca="false">MIN(Customer_Data!H17/Tier_Criteria!$C$7*100,100)</f>
        <v>16.6666666666667</v>
      </c>
      <c r="E17" s="19" t="n">
        <f aca="false">MIN(Customer_Data!J17/Tier_Criteria!$C$8*100,100)</f>
        <v>27</v>
      </c>
      <c r="F17" s="19" t="n">
        <f aca="false">MIN(Customer_Data!K17/Tier_Criteria!$C$9*100,100)</f>
        <v>20.154</v>
      </c>
      <c r="G17" s="19" t="n">
        <f aca="false">B17*Tier_Criteria!$B$5+C17*Tier_Criteria!$B$6+D17*Tier_Criteria!$B$7+E17*Tier_Criteria!$B$8+F17*Tier_Criteria!$B$9</f>
        <v>33.7361888888889</v>
      </c>
      <c r="H17" s="13" t="str">
        <f aca="false">INDEX(Tier_Criteria!$A$15:$A$18,MATCH(G17,Tier_Criteria!$B$15:$B$18,1))</f>
        <v>Mass</v>
      </c>
      <c r="I17" s="18" t="str">
        <f aca="false">Customer_Data!I17</f>
        <v>N</v>
      </c>
      <c r="J17" s="13" t="str">
        <f aca="false">IF(AND(OR(H17="HNI",H17="UHNI"),I17="N"),"High Priority - No Investment Product",IF(AND(H17="Mass Affluent",I17="N"),"Medium Priority - Entry Wealth Product","Standard / Retain"))</f>
        <v>Standard / Retain</v>
      </c>
    </row>
    <row r="18" customFormat="false" ht="15" hidden="false" customHeight="false" outlineLevel="0" collapsed="false">
      <c r="A18" s="18" t="str">
        <f aca="false">Customer_Data!A18</f>
        <v>CUST-1015</v>
      </c>
      <c r="B18" s="19" t="n">
        <f aca="false">MIN(Customer_Data!F18/Tier_Criteria!$C$5*100,100)</f>
        <v>100</v>
      </c>
      <c r="C18" s="19" t="n">
        <f aca="false">MIN(Customer_Data!G18/Tier_Criteria!$C$6*100,100)</f>
        <v>54.9103888888889</v>
      </c>
      <c r="D18" s="19" t="n">
        <f aca="false">MIN(Customer_Data!H18/Tier_Criteria!$C$7*100,100)</f>
        <v>50</v>
      </c>
      <c r="E18" s="19" t="n">
        <f aca="false">MIN(Customer_Data!J18/Tier_Criteria!$C$8*100,100)</f>
        <v>79</v>
      </c>
      <c r="F18" s="19" t="n">
        <f aca="false">MIN(Customer_Data!K18/Tier_Criteria!$C$9*100,100)</f>
        <v>48.25</v>
      </c>
      <c r="G18" s="19" t="n">
        <f aca="false">B18*Tier_Criteria!$B$5+C18*Tier_Criteria!$B$6+D18*Tier_Criteria!$B$7+E18*Tier_Criteria!$B$8+F18*Tier_Criteria!$B$9</f>
        <v>71.3650972222222</v>
      </c>
      <c r="H18" s="13" t="str">
        <f aca="false">INDEX(Tier_Criteria!$A$15:$A$18,MATCH(G18,Tier_Criteria!$B$15:$B$18,1))</f>
        <v>HNI</v>
      </c>
      <c r="I18" s="18" t="str">
        <f aca="false">Customer_Data!I18</f>
        <v>Y</v>
      </c>
      <c r="J18" s="13" t="str">
        <f aca="false">IF(AND(OR(H18="HNI",H18="UHNI"),I18="N"),"High Priority - No Investment Product",IF(AND(H18="Mass Affluent",I18="N"),"Medium Priority - Entry Wealth Product","Standard / Retain"))</f>
        <v>Standard / Retain</v>
      </c>
    </row>
    <row r="19" customFormat="false" ht="15" hidden="false" customHeight="false" outlineLevel="0" collapsed="false">
      <c r="A19" s="18" t="str">
        <f aca="false">Customer_Data!A19</f>
        <v>CUST-1016</v>
      </c>
      <c r="B19" s="19" t="n">
        <f aca="false">MIN(Customer_Data!F19/Tier_Criteria!$C$5*100,100)</f>
        <v>83.0924</v>
      </c>
      <c r="C19" s="19" t="n">
        <f aca="false">MIN(Customer_Data!G19/Tier_Criteria!$C$6*100,100)</f>
        <v>0</v>
      </c>
      <c r="D19" s="19" t="n">
        <f aca="false">MIN(Customer_Data!H19/Tier_Criteria!$C$7*100,100)</f>
        <v>50</v>
      </c>
      <c r="E19" s="19" t="n">
        <f aca="false">MIN(Customer_Data!J19/Tier_Criteria!$C$8*100,100)</f>
        <v>35</v>
      </c>
      <c r="F19" s="19" t="n">
        <f aca="false">MIN(Customer_Data!K19/Tier_Criteria!$C$9*100,100)</f>
        <v>50.7013333333333</v>
      </c>
      <c r="G19" s="19" t="n">
        <f aca="false">B19*Tier_Criteria!$B$5+C19*Tier_Criteria!$B$6+D19*Tier_Criteria!$B$7+E19*Tier_Criteria!$B$8+F19*Tier_Criteria!$B$9</f>
        <v>47.68754</v>
      </c>
      <c r="H19" s="13" t="str">
        <f aca="false">INDEX(Tier_Criteria!$A$15:$A$18,MATCH(G19,Tier_Criteria!$B$15:$B$18,1))</f>
        <v>Mass Affluent</v>
      </c>
      <c r="I19" s="18" t="str">
        <f aca="false">Customer_Data!I19</f>
        <v>N</v>
      </c>
      <c r="J19" s="13" t="str">
        <f aca="false">IF(AND(OR(H19="HNI",H19="UHNI"),I19="N"),"High Priority - No Investment Product",IF(AND(H19="Mass Affluent",I19="N"),"Medium Priority - Entry Wealth Product","Standard / Retain"))</f>
        <v>Medium Priority - Entry Wealth Product</v>
      </c>
    </row>
    <row r="20" customFormat="false" ht="15" hidden="false" customHeight="false" outlineLevel="0" collapsed="false">
      <c r="A20" s="18" t="str">
        <f aca="false">Customer_Data!A20</f>
        <v>CUST-1017</v>
      </c>
      <c r="B20" s="19" t="n">
        <f aca="false">MIN(Customer_Data!F20/Tier_Criteria!$C$5*100,100)</f>
        <v>81.7755</v>
      </c>
      <c r="C20" s="19" t="n">
        <f aca="false">MIN(Customer_Data!G20/Tier_Criteria!$C$6*100,100)</f>
        <v>37.3383333333333</v>
      </c>
      <c r="D20" s="19" t="n">
        <f aca="false">MIN(Customer_Data!H20/Tier_Criteria!$C$7*100,100)</f>
        <v>33.3333333333333</v>
      </c>
      <c r="E20" s="19" t="n">
        <f aca="false">MIN(Customer_Data!J20/Tier_Criteria!$C$8*100,100)</f>
        <v>34</v>
      </c>
      <c r="F20" s="19" t="n">
        <f aca="false">MIN(Customer_Data!K20/Tier_Criteria!$C$9*100,100)</f>
        <v>39.924</v>
      </c>
      <c r="G20" s="19" t="n">
        <f aca="false">B20*Tier_Criteria!$B$5+C20*Tier_Criteria!$B$6+D20*Tier_Criteria!$B$7+E20*Tier_Criteria!$B$8+F20*Tier_Criteria!$B$9</f>
        <v>52.3446083333333</v>
      </c>
      <c r="H20" s="13" t="str">
        <f aca="false">INDEX(Tier_Criteria!$A$15:$A$18,MATCH(G20,Tier_Criteria!$B$15:$B$18,1))</f>
        <v>Mass Affluent</v>
      </c>
      <c r="I20" s="18" t="str">
        <f aca="false">Customer_Data!I20</f>
        <v>N</v>
      </c>
      <c r="J20" s="13" t="str">
        <f aca="false">IF(AND(OR(H20="HNI",H20="UHNI"),I20="N"),"High Priority - No Investment Product",IF(AND(H20="Mass Affluent",I20="N"),"Medium Priority - Entry Wealth Product","Standard / Retain"))</f>
        <v>Medium Priority - Entry Wealth Product</v>
      </c>
    </row>
    <row r="21" customFormat="false" ht="15" hidden="false" customHeight="false" outlineLevel="0" collapsed="false">
      <c r="A21" s="18" t="str">
        <f aca="false">Customer_Data!A21</f>
        <v>CUST-1018</v>
      </c>
      <c r="B21" s="19" t="n">
        <f aca="false">MIN(Customer_Data!F21/Tier_Criteria!$C$5*100,100)</f>
        <v>24.59835</v>
      </c>
      <c r="C21" s="19" t="n">
        <f aca="false">MIN(Customer_Data!G21/Tier_Criteria!$C$6*100,100)</f>
        <v>21.8211388888889</v>
      </c>
      <c r="D21" s="19" t="n">
        <f aca="false">MIN(Customer_Data!H21/Tier_Criteria!$C$7*100,100)</f>
        <v>16.6666666666667</v>
      </c>
      <c r="E21" s="19" t="n">
        <f aca="false">MIN(Customer_Data!J21/Tier_Criteria!$C$8*100,100)</f>
        <v>28</v>
      </c>
      <c r="F21" s="19" t="n">
        <f aca="false">MIN(Customer_Data!K21/Tier_Criteria!$C$9*100,100)</f>
        <v>17.2026666666667</v>
      </c>
      <c r="G21" s="19" t="n">
        <f aca="false">B21*Tier_Criteria!$B$5+C21*Tier_Criteria!$B$6+D21*Tier_Criteria!$B$7+E21*Tier_Criteria!$B$8+F21*Tier_Criteria!$B$9</f>
        <v>21.9451072222222</v>
      </c>
      <c r="H21" s="13" t="str">
        <f aca="false">INDEX(Tier_Criteria!$A$15:$A$18,MATCH(G21,Tier_Criteria!$B$15:$B$18,1))</f>
        <v>Mass</v>
      </c>
      <c r="I21" s="18" t="str">
        <f aca="false">Customer_Data!I21</f>
        <v>N</v>
      </c>
      <c r="J21" s="13" t="str">
        <f aca="false">IF(AND(OR(H21="HNI",H21="UHNI"),I21="N"),"High Priority - No Investment Product",IF(AND(H21="Mass Affluent",I21="N"),"Medium Priority - Entry Wealth Product","Standard / Retain"))</f>
        <v>Standard / Retain</v>
      </c>
    </row>
    <row r="22" customFormat="false" ht="15" hidden="false" customHeight="false" outlineLevel="0" collapsed="false">
      <c r="A22" s="18" t="str">
        <f aca="false">Customer_Data!A22</f>
        <v>CUST-1019</v>
      </c>
      <c r="B22" s="19" t="n">
        <f aca="false">MIN(Customer_Data!F22/Tier_Criteria!$C$5*100,100)</f>
        <v>100</v>
      </c>
      <c r="C22" s="19" t="n">
        <f aca="false">MIN(Customer_Data!G22/Tier_Criteria!$C$6*100,100)</f>
        <v>50.6233055555556</v>
      </c>
      <c r="D22" s="19" t="n">
        <f aca="false">MIN(Customer_Data!H22/Tier_Criteria!$C$7*100,100)</f>
        <v>66.6666666666667</v>
      </c>
      <c r="E22" s="19" t="n">
        <f aca="false">MIN(Customer_Data!J22/Tier_Criteria!$C$8*100,100)</f>
        <v>53</v>
      </c>
      <c r="F22" s="19" t="n">
        <f aca="false">MIN(Customer_Data!K22/Tier_Criteria!$C$9*100,100)</f>
        <v>83.828</v>
      </c>
      <c r="G22" s="19" t="n">
        <f aca="false">B22*Tier_Criteria!$B$5+C22*Tier_Criteria!$B$6+D22*Tier_Criteria!$B$7+E22*Tier_Criteria!$B$8+F22*Tier_Criteria!$B$9</f>
        <v>75.5300263888889</v>
      </c>
      <c r="H22" s="13" t="str">
        <f aca="false">INDEX(Tier_Criteria!$A$15:$A$18,MATCH(G22,Tier_Criteria!$B$15:$B$18,1))</f>
        <v>HNI</v>
      </c>
      <c r="I22" s="18" t="str">
        <f aca="false">Customer_Data!I22</f>
        <v>Y</v>
      </c>
      <c r="J22" s="13" t="str">
        <f aca="false">IF(AND(OR(H22="HNI",H22="UHNI"),I22="N"),"High Priority - No Investment Product",IF(AND(H22="Mass Affluent",I22="N"),"Medium Priority - Entry Wealth Product","Standard / Retain"))</f>
        <v>Standard / Retain</v>
      </c>
    </row>
    <row r="23" customFormat="false" ht="15" hidden="false" customHeight="false" outlineLevel="0" collapsed="false">
      <c r="A23" s="18" t="str">
        <f aca="false">Customer_Data!A23</f>
        <v>CUST-1020</v>
      </c>
      <c r="B23" s="19" t="n">
        <f aca="false">MIN(Customer_Data!F23/Tier_Criteria!$C$5*100,100)</f>
        <v>27.49575</v>
      </c>
      <c r="C23" s="19" t="n">
        <f aca="false">MIN(Customer_Data!G23/Tier_Criteria!$C$6*100,100)</f>
        <v>9.79019444444445</v>
      </c>
      <c r="D23" s="19" t="n">
        <f aca="false">MIN(Customer_Data!H23/Tier_Criteria!$C$7*100,100)</f>
        <v>33.3333333333333</v>
      </c>
      <c r="E23" s="19" t="n">
        <f aca="false">MIN(Customer_Data!J23/Tier_Criteria!$C$8*100,100)</f>
        <v>30</v>
      </c>
      <c r="F23" s="19" t="n">
        <f aca="false">MIN(Customer_Data!K23/Tier_Criteria!$C$9*100,100)</f>
        <v>14.8486666666667</v>
      </c>
      <c r="G23" s="19" t="n">
        <f aca="false">B23*Tier_Criteria!$B$5+C23*Tier_Criteria!$B$6+D23*Tier_Criteria!$B$7+E23*Tier_Criteria!$B$8+F23*Tier_Criteria!$B$9</f>
        <v>22.2983611111111</v>
      </c>
      <c r="H23" s="13" t="str">
        <f aca="false">INDEX(Tier_Criteria!$A$15:$A$18,MATCH(G23,Tier_Criteria!$B$15:$B$18,1))</f>
        <v>Mass</v>
      </c>
      <c r="I23" s="18" t="str">
        <f aca="false">Customer_Data!I23</f>
        <v>N</v>
      </c>
      <c r="J23" s="13" t="str">
        <f aca="false">IF(AND(OR(H23="HNI",H23="UHNI"),I23="N"),"High Priority - No Investment Product",IF(AND(H23="Mass Affluent",I23="N"),"Medium Priority - Entry Wealth Product","Standard / Retain"))</f>
        <v>Standard / Retain</v>
      </c>
    </row>
    <row r="24" customFormat="false" ht="15" hidden="false" customHeight="false" outlineLevel="0" collapsed="false">
      <c r="A24" s="18" t="str">
        <f aca="false">Customer_Data!A24</f>
        <v>CUST-1021</v>
      </c>
      <c r="B24" s="19" t="n">
        <f aca="false">MIN(Customer_Data!F24/Tier_Criteria!$C$5*100,100)</f>
        <v>100</v>
      </c>
      <c r="C24" s="19" t="n">
        <f aca="false">MIN(Customer_Data!G24/Tier_Criteria!$C$6*100,100)</f>
        <v>0</v>
      </c>
      <c r="D24" s="19" t="n">
        <f aca="false">MIN(Customer_Data!H24/Tier_Criteria!$C$7*100,100)</f>
        <v>66.6666666666667</v>
      </c>
      <c r="E24" s="19" t="n">
        <f aca="false">MIN(Customer_Data!J24/Tier_Criteria!$C$8*100,100)</f>
        <v>48</v>
      </c>
      <c r="F24" s="19" t="n">
        <f aca="false">MIN(Customer_Data!K24/Tier_Criteria!$C$9*100,100)</f>
        <v>51.3253333333333</v>
      </c>
      <c r="G24" s="19" t="n">
        <f aca="false">B24*Tier_Criteria!$B$5+C24*Tier_Criteria!$B$6+D24*Tier_Criteria!$B$7+E24*Tier_Criteria!$B$8+F24*Tier_Criteria!$B$9</f>
        <v>57.4988</v>
      </c>
      <c r="H24" s="13" t="str">
        <f aca="false">INDEX(Tier_Criteria!$A$15:$A$18,MATCH(G24,Tier_Criteria!$B$15:$B$18,1))</f>
        <v>Mass Affluent</v>
      </c>
      <c r="I24" s="18" t="str">
        <f aca="false">Customer_Data!I24</f>
        <v>N</v>
      </c>
      <c r="J24" s="13" t="str">
        <f aca="false">IF(AND(OR(H24="HNI",H24="UHNI"),I24="N"),"High Priority - No Investment Product",IF(AND(H24="Mass Affluent",I24="N"),"Medium Priority - Entry Wealth Product","Standard / Retain"))</f>
        <v>Medium Priority - Entry Wealth Product</v>
      </c>
    </row>
    <row r="25" customFormat="false" ht="15" hidden="false" customHeight="false" outlineLevel="0" collapsed="false">
      <c r="A25" s="18" t="str">
        <f aca="false">Customer_Data!A25</f>
        <v>CUST-1022</v>
      </c>
      <c r="B25" s="19" t="n">
        <f aca="false">MIN(Customer_Data!F25/Tier_Criteria!$C$5*100,100)</f>
        <v>100</v>
      </c>
      <c r="C25" s="19" t="n">
        <f aca="false">MIN(Customer_Data!G25/Tier_Criteria!$C$6*100,100)</f>
        <v>29.5180833333333</v>
      </c>
      <c r="D25" s="19" t="n">
        <f aca="false">MIN(Customer_Data!H25/Tier_Criteria!$C$7*100,100)</f>
        <v>33.3333333333333</v>
      </c>
      <c r="E25" s="19" t="n">
        <f aca="false">MIN(Customer_Data!J25/Tier_Criteria!$C$8*100,100)</f>
        <v>61</v>
      </c>
      <c r="F25" s="19" t="n">
        <f aca="false">MIN(Customer_Data!K25/Tier_Criteria!$C$9*100,100)</f>
        <v>33.3133333333333</v>
      </c>
      <c r="G25" s="19" t="n">
        <f aca="false">B25*Tier_Criteria!$B$5+C25*Tier_Criteria!$B$6+D25*Tier_Criteria!$B$7+E25*Tier_Criteria!$B$8+F25*Tier_Criteria!$B$9</f>
        <v>58.4765208333333</v>
      </c>
      <c r="H25" s="13" t="str">
        <f aca="false">INDEX(Tier_Criteria!$A$15:$A$18,MATCH(G25,Tier_Criteria!$B$15:$B$18,1))</f>
        <v>Mass Affluent</v>
      </c>
      <c r="I25" s="18" t="str">
        <f aca="false">Customer_Data!I25</f>
        <v>Y</v>
      </c>
      <c r="J25" s="13" t="str">
        <f aca="false">IF(AND(OR(H25="HNI",H25="UHNI"),I25="N"),"High Priority - No Investment Product",IF(AND(H25="Mass Affluent",I25="N"),"Medium Priority - Entry Wealth Product","Standard / Retain"))</f>
        <v>Standard / Retain</v>
      </c>
    </row>
    <row r="26" customFormat="false" ht="15" hidden="false" customHeight="false" outlineLevel="0" collapsed="false">
      <c r="A26" s="18" t="str">
        <f aca="false">Customer_Data!A26</f>
        <v>CUST-1023</v>
      </c>
      <c r="B26" s="19" t="n">
        <f aca="false">MIN(Customer_Data!F26/Tier_Criteria!$C$5*100,100)</f>
        <v>15.97</v>
      </c>
      <c r="C26" s="19" t="n">
        <f aca="false">MIN(Customer_Data!G26/Tier_Criteria!$C$6*100,100)</f>
        <v>10.2869444444444</v>
      </c>
      <c r="D26" s="19" t="n">
        <f aca="false">MIN(Customer_Data!H26/Tier_Criteria!$C$7*100,100)</f>
        <v>16.6666666666667</v>
      </c>
      <c r="E26" s="19" t="n">
        <f aca="false">MIN(Customer_Data!J26/Tier_Criteria!$C$8*100,100)</f>
        <v>20</v>
      </c>
      <c r="F26" s="19" t="n">
        <f aca="false">MIN(Customer_Data!K26/Tier_Criteria!$C$9*100,100)</f>
        <v>6.62333333333333</v>
      </c>
      <c r="G26" s="19" t="n">
        <f aca="false">B26*Tier_Criteria!$B$5+C26*Tier_Criteria!$B$6+D26*Tier_Criteria!$B$7+E26*Tier_Criteria!$B$8+F26*Tier_Criteria!$B$9</f>
        <v>13.6547361111111</v>
      </c>
      <c r="H26" s="13" t="str">
        <f aca="false">INDEX(Tier_Criteria!$A$15:$A$18,MATCH(G26,Tier_Criteria!$B$15:$B$18,1))</f>
        <v>Mass</v>
      </c>
      <c r="I26" s="18" t="str">
        <f aca="false">Customer_Data!I26</f>
        <v>N</v>
      </c>
      <c r="J26" s="13" t="str">
        <f aca="false">IF(AND(OR(H26="HNI",H26="UHNI"),I26="N"),"High Priority - No Investment Product",IF(AND(H26="Mass Affluent",I26="N"),"Medium Priority - Entry Wealth Product","Standard / Retain"))</f>
        <v>Standard / Retain</v>
      </c>
    </row>
    <row r="27" customFormat="false" ht="15" hidden="false" customHeight="false" outlineLevel="0" collapsed="false">
      <c r="A27" s="18" t="str">
        <f aca="false">Customer_Data!A27</f>
        <v>CUST-1024</v>
      </c>
      <c r="B27" s="19" t="n">
        <f aca="false">MIN(Customer_Data!F27/Tier_Criteria!$C$5*100,100)</f>
        <v>33.84345</v>
      </c>
      <c r="C27" s="19" t="n">
        <f aca="false">MIN(Customer_Data!G27/Tier_Criteria!$C$6*100,100)</f>
        <v>18.5658333333333</v>
      </c>
      <c r="D27" s="19" t="n">
        <f aca="false">MIN(Customer_Data!H27/Tier_Criteria!$C$7*100,100)</f>
        <v>16.6666666666667</v>
      </c>
      <c r="E27" s="19" t="n">
        <f aca="false">MIN(Customer_Data!J27/Tier_Criteria!$C$8*100,100)</f>
        <v>38</v>
      </c>
      <c r="F27" s="19" t="n">
        <f aca="false">MIN(Customer_Data!K27/Tier_Criteria!$C$9*100,100)</f>
        <v>21.3133333333333</v>
      </c>
      <c r="G27" s="19" t="n">
        <f aca="false">B27*Tier_Criteria!$B$5+C27*Tier_Criteria!$B$6+D27*Tier_Criteria!$B$7+E27*Tier_Criteria!$B$8+F27*Tier_Criteria!$B$9</f>
        <v>25.9836658333333</v>
      </c>
      <c r="H27" s="13" t="str">
        <f aca="false">INDEX(Tier_Criteria!$A$15:$A$18,MATCH(G27,Tier_Criteria!$B$15:$B$18,1))</f>
        <v>Mass</v>
      </c>
      <c r="I27" s="18" t="str">
        <f aca="false">Customer_Data!I27</f>
        <v>N</v>
      </c>
      <c r="J27" s="13" t="str">
        <f aca="false">IF(AND(OR(H27="HNI",H27="UHNI"),I27="N"),"High Priority - No Investment Product",IF(AND(H27="Mass Affluent",I27="N"),"Medium Priority - Entry Wealth Product","Standard / Retain"))</f>
        <v>Standard / Retain</v>
      </c>
    </row>
    <row r="28" customFormat="false" ht="15" hidden="false" customHeight="false" outlineLevel="0" collapsed="false">
      <c r="A28" s="18" t="str">
        <f aca="false">Customer_Data!A28</f>
        <v>CUST-1025</v>
      </c>
      <c r="B28" s="19" t="n">
        <f aca="false">MIN(Customer_Data!F28/Tier_Criteria!$C$5*100,100)</f>
        <v>90.4214</v>
      </c>
      <c r="C28" s="19" t="n">
        <f aca="false">MIN(Customer_Data!G28/Tier_Criteria!$C$6*100,100)</f>
        <v>0</v>
      </c>
      <c r="D28" s="19" t="n">
        <f aca="false">MIN(Customer_Data!H28/Tier_Criteria!$C$7*100,100)</f>
        <v>50</v>
      </c>
      <c r="E28" s="19" t="n">
        <f aca="false">MIN(Customer_Data!J28/Tier_Criteria!$C$8*100,100)</f>
        <v>29</v>
      </c>
      <c r="F28" s="19" t="n">
        <f aca="false">MIN(Customer_Data!K28/Tier_Criteria!$C$9*100,100)</f>
        <v>38.682</v>
      </c>
      <c r="G28" s="19" t="n">
        <f aca="false">B28*Tier_Criteria!$B$5+C28*Tier_Criteria!$B$6+D28*Tier_Criteria!$B$7+E28*Tier_Criteria!$B$8+F28*Tier_Criteria!$B$9</f>
        <v>47.84979</v>
      </c>
      <c r="H28" s="13" t="str">
        <f aca="false">INDEX(Tier_Criteria!$A$15:$A$18,MATCH(G28,Tier_Criteria!$B$15:$B$18,1))</f>
        <v>Mass Affluent</v>
      </c>
      <c r="I28" s="18" t="str">
        <f aca="false">Customer_Data!I28</f>
        <v>N</v>
      </c>
      <c r="J28" s="13" t="str">
        <f aca="false">IF(AND(OR(H28="HNI",H28="UHNI"),I28="N"),"High Priority - No Investment Product",IF(AND(H28="Mass Affluent",I28="N"),"Medium Priority - Entry Wealth Product","Standard / Retain"))</f>
        <v>Medium Priority - Entry Wealth Product</v>
      </c>
    </row>
    <row r="29" customFormat="false" ht="15" hidden="false" customHeight="false" outlineLevel="0" collapsed="false">
      <c r="A29" s="18" t="str">
        <f aca="false">Customer_Data!A29</f>
        <v>CUST-1026</v>
      </c>
      <c r="B29" s="19" t="n">
        <f aca="false">MIN(Customer_Data!F29/Tier_Criteria!$C$5*100,100)</f>
        <v>63.03965</v>
      </c>
      <c r="C29" s="19" t="n">
        <f aca="false">MIN(Customer_Data!G29/Tier_Criteria!$C$6*100,100)</f>
        <v>17.7120833333333</v>
      </c>
      <c r="D29" s="19" t="n">
        <f aca="false">MIN(Customer_Data!H29/Tier_Criteria!$C$7*100,100)</f>
        <v>16.6666666666667</v>
      </c>
      <c r="E29" s="19" t="n">
        <f aca="false">MIN(Customer_Data!J29/Tier_Criteria!$C$8*100,100)</f>
        <v>21</v>
      </c>
      <c r="F29" s="19" t="n">
        <f aca="false">MIN(Customer_Data!K29/Tier_Criteria!$C$9*100,100)</f>
        <v>19.0106666666667</v>
      </c>
      <c r="G29" s="19" t="n">
        <f aca="false">B29*Tier_Criteria!$B$5+C29*Tier_Criteria!$B$6+D29*Tier_Criteria!$B$7+E29*Tier_Criteria!$B$8+F29*Tier_Criteria!$B$9</f>
        <v>33.9434983333333</v>
      </c>
      <c r="H29" s="13" t="str">
        <f aca="false">INDEX(Tier_Criteria!$A$15:$A$18,MATCH(G29,Tier_Criteria!$B$15:$B$18,1))</f>
        <v>Mass</v>
      </c>
      <c r="I29" s="18" t="str">
        <f aca="false">Customer_Data!I29</f>
        <v>N</v>
      </c>
      <c r="J29" s="13" t="str">
        <f aca="false">IF(AND(OR(H29="HNI",H29="UHNI"),I29="N"),"High Priority - No Investment Product",IF(AND(H29="Mass Affluent",I29="N"),"Medium Priority - Entry Wealth Product","Standard / Retain"))</f>
        <v>Standard / Retain</v>
      </c>
    </row>
    <row r="30" customFormat="false" ht="15" hidden="false" customHeight="false" outlineLevel="0" collapsed="false">
      <c r="A30" s="18" t="str">
        <f aca="false">Customer_Data!A30</f>
        <v>CUST-1027</v>
      </c>
      <c r="B30" s="19" t="n">
        <f aca="false">MIN(Customer_Data!F30/Tier_Criteria!$C$5*100,100)</f>
        <v>35.27325</v>
      </c>
      <c r="C30" s="19" t="n">
        <f aca="false">MIN(Customer_Data!G30/Tier_Criteria!$C$6*100,100)</f>
        <v>0</v>
      </c>
      <c r="D30" s="19" t="n">
        <f aca="false">MIN(Customer_Data!H30/Tier_Criteria!$C$7*100,100)</f>
        <v>33.3333333333333</v>
      </c>
      <c r="E30" s="19" t="n">
        <f aca="false">MIN(Customer_Data!J30/Tier_Criteria!$C$8*100,100)</f>
        <v>24</v>
      </c>
      <c r="F30" s="19" t="n">
        <f aca="false">MIN(Customer_Data!K30/Tier_Criteria!$C$9*100,100)</f>
        <v>26.736</v>
      </c>
      <c r="G30" s="19" t="n">
        <f aca="false">B30*Tier_Criteria!$B$5+C30*Tier_Criteria!$B$6+D30*Tier_Criteria!$B$7+E30*Tier_Criteria!$B$8+F30*Tier_Criteria!$B$9</f>
        <v>23.7560375</v>
      </c>
      <c r="H30" s="13" t="str">
        <f aca="false">INDEX(Tier_Criteria!$A$15:$A$18,MATCH(G30,Tier_Criteria!$B$15:$B$18,1))</f>
        <v>Mass</v>
      </c>
      <c r="I30" s="18" t="str">
        <f aca="false">Customer_Data!I30</f>
        <v>N</v>
      </c>
      <c r="J30" s="13" t="str">
        <f aca="false">IF(AND(OR(H30="HNI",H30="UHNI"),I30="N"),"High Priority - No Investment Product",IF(AND(H30="Mass Affluent",I30="N"),"Medium Priority - Entry Wealth Product","Standard / Retain"))</f>
        <v>Standard / Retain</v>
      </c>
    </row>
    <row r="31" customFormat="false" ht="15" hidden="false" customHeight="false" outlineLevel="0" collapsed="false">
      <c r="A31" s="18" t="str">
        <f aca="false">Customer_Data!A31</f>
        <v>CUST-1028</v>
      </c>
      <c r="B31" s="19" t="n">
        <f aca="false">MIN(Customer_Data!F31/Tier_Criteria!$C$5*100,100)</f>
        <v>48.1123</v>
      </c>
      <c r="C31" s="19" t="n">
        <f aca="false">MIN(Customer_Data!G31/Tier_Criteria!$C$6*100,100)</f>
        <v>43.1502777777778</v>
      </c>
      <c r="D31" s="19" t="n">
        <f aca="false">MIN(Customer_Data!H31/Tier_Criteria!$C$7*100,100)</f>
        <v>16.6666666666667</v>
      </c>
      <c r="E31" s="19" t="n">
        <f aca="false">MIN(Customer_Data!J31/Tier_Criteria!$C$8*100,100)</f>
        <v>22</v>
      </c>
      <c r="F31" s="19" t="n">
        <f aca="false">MIN(Customer_Data!K31/Tier_Criteria!$C$9*100,100)</f>
        <v>28.8313333333333</v>
      </c>
      <c r="G31" s="19" t="n">
        <f aca="false">B31*Tier_Criteria!$B$5+C31*Tier_Criteria!$B$6+D31*Tier_Criteria!$B$7+E31*Tier_Criteria!$B$8+F31*Tier_Criteria!$B$9</f>
        <v>36.6515744444445</v>
      </c>
      <c r="H31" s="13" t="str">
        <f aca="false">INDEX(Tier_Criteria!$A$15:$A$18,MATCH(G31,Tier_Criteria!$B$15:$B$18,1))</f>
        <v>Mass</v>
      </c>
      <c r="I31" s="18" t="str">
        <f aca="false">Customer_Data!I31</f>
        <v>N</v>
      </c>
      <c r="J31" s="13" t="str">
        <f aca="false">IF(AND(OR(H31="HNI",H31="UHNI"),I31="N"),"High Priority - No Investment Product",IF(AND(H31="Mass Affluent",I31="N"),"Medium Priority - Entry Wealth Product","Standard / Retain"))</f>
        <v>Standard / Retain</v>
      </c>
    </row>
    <row r="32" customFormat="false" ht="15" hidden="false" customHeight="false" outlineLevel="0" collapsed="false">
      <c r="A32" s="18" t="str">
        <f aca="false">Customer_Data!A32</f>
        <v>CUST-1029</v>
      </c>
      <c r="B32" s="19" t="n">
        <f aca="false">MIN(Customer_Data!F32/Tier_Criteria!$C$5*100,100)</f>
        <v>39.15485</v>
      </c>
      <c r="C32" s="19" t="n">
        <f aca="false">MIN(Customer_Data!G32/Tier_Criteria!$C$6*100,100)</f>
        <v>16.7797777777778</v>
      </c>
      <c r="D32" s="19" t="n">
        <f aca="false">MIN(Customer_Data!H32/Tier_Criteria!$C$7*100,100)</f>
        <v>16.6666666666667</v>
      </c>
      <c r="E32" s="19" t="n">
        <f aca="false">MIN(Customer_Data!J32/Tier_Criteria!$C$8*100,100)</f>
        <v>18</v>
      </c>
      <c r="F32" s="19" t="n">
        <f aca="false">MIN(Customer_Data!K32/Tier_Criteria!$C$9*100,100)</f>
        <v>12.3786666666667</v>
      </c>
      <c r="G32" s="19" t="n">
        <f aca="false">B32*Tier_Criteria!$B$5+C32*Tier_Criteria!$B$6+D32*Tier_Criteria!$B$7+E32*Tier_Criteria!$B$8+F32*Tier_Criteria!$B$9</f>
        <v>24.0559419444444</v>
      </c>
      <c r="H32" s="13" t="str">
        <f aca="false">INDEX(Tier_Criteria!$A$15:$A$18,MATCH(G32,Tier_Criteria!$B$15:$B$18,1))</f>
        <v>Mass</v>
      </c>
      <c r="I32" s="18" t="str">
        <f aca="false">Customer_Data!I32</f>
        <v>N</v>
      </c>
      <c r="J32" s="13" t="str">
        <f aca="false">IF(AND(OR(H32="HNI",H32="UHNI"),I32="N"),"High Priority - No Investment Product",IF(AND(H32="Mass Affluent",I32="N"),"Medium Priority - Entry Wealth Product","Standard / Retain"))</f>
        <v>Standard / Retain</v>
      </c>
    </row>
    <row r="33" customFormat="false" ht="15" hidden="false" customHeight="false" outlineLevel="0" collapsed="false">
      <c r="A33" s="18" t="str">
        <f aca="false">Customer_Data!A33</f>
        <v>CUST-1030</v>
      </c>
      <c r="B33" s="19" t="n">
        <f aca="false">MIN(Customer_Data!F33/Tier_Criteria!$C$5*100,100)</f>
        <v>67.53585</v>
      </c>
      <c r="C33" s="19" t="n">
        <f aca="false">MIN(Customer_Data!G33/Tier_Criteria!$C$6*100,100)</f>
        <v>23.3219166666667</v>
      </c>
      <c r="D33" s="19" t="n">
        <f aca="false">MIN(Customer_Data!H33/Tier_Criteria!$C$7*100,100)</f>
        <v>33.3333333333333</v>
      </c>
      <c r="E33" s="19" t="n">
        <f aca="false">MIN(Customer_Data!J33/Tier_Criteria!$C$8*100,100)</f>
        <v>18</v>
      </c>
      <c r="F33" s="19" t="n">
        <f aca="false">MIN(Customer_Data!K33/Tier_Criteria!$C$9*100,100)</f>
        <v>22.0493333333333</v>
      </c>
      <c r="G33" s="19" t="n">
        <f aca="false">B33*Tier_Criteria!$B$5+C33*Tier_Criteria!$B$6+D33*Tier_Criteria!$B$7+E33*Tier_Criteria!$B$8+F33*Tier_Criteria!$B$9</f>
        <v>39.5754266666667</v>
      </c>
      <c r="H33" s="13" t="str">
        <f aca="false">INDEX(Tier_Criteria!$A$15:$A$18,MATCH(G33,Tier_Criteria!$B$15:$B$18,1))</f>
        <v>Mass</v>
      </c>
      <c r="I33" s="18" t="str">
        <f aca="false">Customer_Data!I33</f>
        <v>N</v>
      </c>
      <c r="J33" s="13" t="str">
        <f aca="false">IF(AND(OR(H33="HNI",H33="UHNI"),I33="N"),"High Priority - No Investment Product",IF(AND(H33="Mass Affluent",I33="N"),"Medium Priority - Entry Wealth Product","Standard / Retain"))</f>
        <v>Standard / Retain</v>
      </c>
    </row>
    <row r="34" customFormat="false" ht="15" hidden="false" customHeight="false" outlineLevel="0" collapsed="false">
      <c r="A34" s="18" t="str">
        <f aca="false">Customer_Data!A34</f>
        <v>CUST-1031</v>
      </c>
      <c r="B34" s="19" t="n">
        <f aca="false">MIN(Customer_Data!F34/Tier_Criteria!$C$5*100,100)</f>
        <v>100</v>
      </c>
      <c r="C34" s="19" t="n">
        <f aca="false">MIN(Customer_Data!G34/Tier_Criteria!$C$6*100,100)</f>
        <v>63.0195833333333</v>
      </c>
      <c r="D34" s="19" t="n">
        <f aca="false">MIN(Customer_Data!H34/Tier_Criteria!$C$7*100,100)</f>
        <v>33.3333333333333</v>
      </c>
      <c r="E34" s="19" t="n">
        <f aca="false">MIN(Customer_Data!J34/Tier_Criteria!$C$8*100,100)</f>
        <v>48</v>
      </c>
      <c r="F34" s="19" t="n">
        <f aca="false">MIN(Customer_Data!K34/Tier_Criteria!$C$9*100,100)</f>
        <v>53.5553333333333</v>
      </c>
      <c r="G34" s="19" t="n">
        <f aca="false">B34*Tier_Criteria!$B$5+C34*Tier_Criteria!$B$6+D34*Tier_Criteria!$B$7+E34*Tier_Criteria!$B$8+F34*Tier_Criteria!$B$9</f>
        <v>68.5881958333333</v>
      </c>
      <c r="H34" s="13" t="str">
        <f aca="false">INDEX(Tier_Criteria!$A$15:$A$18,MATCH(G34,Tier_Criteria!$B$15:$B$18,1))</f>
        <v>HNI</v>
      </c>
      <c r="I34" s="18" t="str">
        <f aca="false">Customer_Data!I34</f>
        <v>Y</v>
      </c>
      <c r="J34" s="13" t="str">
        <f aca="false">IF(AND(OR(H34="HNI",H34="UHNI"),I34="N"),"High Priority - No Investment Product",IF(AND(H34="Mass Affluent",I34="N"),"Medium Priority - Entry Wealth Product","Standard / Retain"))</f>
        <v>Standard / Retain</v>
      </c>
    </row>
    <row r="35" customFormat="false" ht="15" hidden="false" customHeight="false" outlineLevel="0" collapsed="false">
      <c r="A35" s="18" t="str">
        <f aca="false">Customer_Data!A35</f>
        <v>CUST-1032</v>
      </c>
      <c r="B35" s="19" t="n">
        <f aca="false">MIN(Customer_Data!F35/Tier_Criteria!$C$5*100,100)</f>
        <v>100</v>
      </c>
      <c r="C35" s="19" t="n">
        <f aca="false">MIN(Customer_Data!G35/Tier_Criteria!$C$6*100,100)</f>
        <v>72.23125</v>
      </c>
      <c r="D35" s="19" t="n">
        <f aca="false">MIN(Customer_Data!H35/Tier_Criteria!$C$7*100,100)</f>
        <v>33.3333333333333</v>
      </c>
      <c r="E35" s="19" t="n">
        <f aca="false">MIN(Customer_Data!J35/Tier_Criteria!$C$8*100,100)</f>
        <v>54</v>
      </c>
      <c r="F35" s="19" t="n">
        <f aca="false">MIN(Customer_Data!K35/Tier_Criteria!$C$9*100,100)</f>
        <v>38.5293333333333</v>
      </c>
      <c r="G35" s="19" t="n">
        <f aca="false">B35*Tier_Criteria!$B$5+C35*Tier_Criteria!$B$6+D35*Tier_Criteria!$B$7+E35*Tier_Criteria!$B$8+F35*Tier_Criteria!$B$9</f>
        <v>69.2372125</v>
      </c>
      <c r="H35" s="13" t="str">
        <f aca="false">INDEX(Tier_Criteria!$A$15:$A$18,MATCH(G35,Tier_Criteria!$B$15:$B$18,1))</f>
        <v>HNI</v>
      </c>
      <c r="I35" s="18" t="str">
        <f aca="false">Customer_Data!I35</f>
        <v>Y</v>
      </c>
      <c r="J35" s="13" t="str">
        <f aca="false">IF(AND(OR(H35="HNI",H35="UHNI"),I35="N"),"High Priority - No Investment Product",IF(AND(H35="Mass Affluent",I35="N"),"Medium Priority - Entry Wealth Product","Standard / Retain"))</f>
        <v>Standard / Retain</v>
      </c>
    </row>
    <row r="36" customFormat="false" ht="15" hidden="false" customHeight="false" outlineLevel="0" collapsed="false">
      <c r="A36" s="18" t="str">
        <f aca="false">Customer_Data!A36</f>
        <v>CUST-1033</v>
      </c>
      <c r="B36" s="19" t="n">
        <f aca="false">MIN(Customer_Data!F36/Tier_Criteria!$C$5*100,100)</f>
        <v>26.2691</v>
      </c>
      <c r="C36" s="19" t="n">
        <f aca="false">MIN(Customer_Data!G36/Tier_Criteria!$C$6*100,100)</f>
        <v>11.4796944444444</v>
      </c>
      <c r="D36" s="19" t="n">
        <f aca="false">MIN(Customer_Data!H36/Tier_Criteria!$C$7*100,100)</f>
        <v>16.6666666666667</v>
      </c>
      <c r="E36" s="19" t="n">
        <f aca="false">MIN(Customer_Data!J36/Tier_Criteria!$C$8*100,100)</f>
        <v>30</v>
      </c>
      <c r="F36" s="19" t="n">
        <f aca="false">MIN(Customer_Data!K36/Tier_Criteria!$C$9*100,100)</f>
        <v>10.372</v>
      </c>
      <c r="G36" s="19" t="n">
        <f aca="false">B36*Tier_Criteria!$B$5+C36*Tier_Criteria!$B$6+D36*Tier_Criteria!$B$7+E36*Tier_Criteria!$B$8+F36*Tier_Criteria!$B$9</f>
        <v>19.1199086111111</v>
      </c>
      <c r="H36" s="13" t="str">
        <f aca="false">INDEX(Tier_Criteria!$A$15:$A$18,MATCH(G36,Tier_Criteria!$B$15:$B$18,1))</f>
        <v>Mass</v>
      </c>
      <c r="I36" s="18" t="str">
        <f aca="false">Customer_Data!I36</f>
        <v>N</v>
      </c>
      <c r="J36" s="13" t="str">
        <f aca="false">IF(AND(OR(H36="HNI",H36="UHNI"),I36="N"),"High Priority - No Investment Product",IF(AND(H36="Mass Affluent",I36="N"),"Medium Priority - Entry Wealth Product","Standard / Retain"))</f>
        <v>Standard / Retain</v>
      </c>
    </row>
    <row r="37" customFormat="false" ht="15" hidden="false" customHeight="false" outlineLevel="0" collapsed="false">
      <c r="A37" s="18" t="str">
        <f aca="false">Customer_Data!A37</f>
        <v>CUST-1034</v>
      </c>
      <c r="B37" s="19" t="n">
        <f aca="false">MIN(Customer_Data!F37/Tier_Criteria!$C$5*100,100)</f>
        <v>82.1317</v>
      </c>
      <c r="C37" s="19" t="n">
        <f aca="false">MIN(Customer_Data!G37/Tier_Criteria!$C$6*100,100)</f>
        <v>41.2621944444445</v>
      </c>
      <c r="D37" s="19" t="n">
        <f aca="false">MIN(Customer_Data!H37/Tier_Criteria!$C$7*100,100)</f>
        <v>33.3333333333333</v>
      </c>
      <c r="E37" s="19" t="n">
        <f aca="false">MIN(Customer_Data!J37/Tier_Criteria!$C$8*100,100)</f>
        <v>47</v>
      </c>
      <c r="F37" s="19" t="n">
        <f aca="false">MIN(Customer_Data!K37/Tier_Criteria!$C$9*100,100)</f>
        <v>34.5606666666667</v>
      </c>
      <c r="G37" s="19" t="n">
        <f aca="false">B37*Tier_Criteria!$B$5+C37*Tier_Criteria!$B$6+D37*Tier_Criteria!$B$7+E37*Tier_Criteria!$B$8+F37*Tier_Criteria!$B$9</f>
        <v>53.9457436111111</v>
      </c>
      <c r="H37" s="13" t="str">
        <f aca="false">INDEX(Tier_Criteria!$A$15:$A$18,MATCH(G37,Tier_Criteria!$B$15:$B$18,1))</f>
        <v>Mass Affluent</v>
      </c>
      <c r="I37" s="18" t="str">
        <f aca="false">Customer_Data!I37</f>
        <v>N</v>
      </c>
      <c r="J37" s="13" t="str">
        <f aca="false">IF(AND(OR(H37="HNI",H37="UHNI"),I37="N"),"High Priority - No Investment Product",IF(AND(H37="Mass Affluent",I37="N"),"Medium Priority - Entry Wealth Product","Standard / Retain"))</f>
        <v>Medium Priority - Entry Wealth Product</v>
      </c>
    </row>
    <row r="38" customFormat="false" ht="15" hidden="false" customHeight="false" outlineLevel="0" collapsed="false">
      <c r="A38" s="18" t="str">
        <f aca="false">Customer_Data!A38</f>
        <v>CUST-1035</v>
      </c>
      <c r="B38" s="19" t="n">
        <f aca="false">MIN(Customer_Data!F38/Tier_Criteria!$C$5*100,100)</f>
        <v>41.0093</v>
      </c>
      <c r="C38" s="19" t="n">
        <f aca="false">MIN(Customer_Data!G38/Tier_Criteria!$C$6*100,100)</f>
        <v>13.6462777777778</v>
      </c>
      <c r="D38" s="19" t="n">
        <f aca="false">MIN(Customer_Data!H38/Tier_Criteria!$C$7*100,100)</f>
        <v>16.6666666666667</v>
      </c>
      <c r="E38" s="19" t="n">
        <f aca="false">MIN(Customer_Data!J38/Tier_Criteria!$C$8*100,100)</f>
        <v>19</v>
      </c>
      <c r="F38" s="19" t="n">
        <f aca="false">MIN(Customer_Data!K38/Tier_Criteria!$C$9*100,100)</f>
        <v>13.058</v>
      </c>
      <c r="G38" s="19" t="n">
        <f aca="false">B38*Tier_Criteria!$B$5+C38*Tier_Criteria!$B$6+D38*Tier_Criteria!$B$7+E38*Tier_Criteria!$B$8+F38*Tier_Criteria!$B$9</f>
        <v>24.1235244444444</v>
      </c>
      <c r="H38" s="13" t="str">
        <f aca="false">INDEX(Tier_Criteria!$A$15:$A$18,MATCH(G38,Tier_Criteria!$B$15:$B$18,1))</f>
        <v>Mass</v>
      </c>
      <c r="I38" s="18" t="str">
        <f aca="false">Customer_Data!I38</f>
        <v>N</v>
      </c>
      <c r="J38" s="13" t="str">
        <f aca="false">IF(AND(OR(H38="HNI",H38="UHNI"),I38="N"),"High Priority - No Investment Product",IF(AND(H38="Mass Affluent",I38="N"),"Medium Priority - Entry Wealth Product","Standard / Retain"))</f>
        <v>Standard / Retain</v>
      </c>
    </row>
    <row r="39" customFormat="false" ht="15" hidden="false" customHeight="false" outlineLevel="0" collapsed="false">
      <c r="A39" s="18" t="str">
        <f aca="false">Customer_Data!A39</f>
        <v>CUST-1036</v>
      </c>
      <c r="B39" s="19" t="n">
        <f aca="false">MIN(Customer_Data!F39/Tier_Criteria!$C$5*100,100)</f>
        <v>36.069</v>
      </c>
      <c r="C39" s="19" t="n">
        <f aca="false">MIN(Customer_Data!G39/Tier_Criteria!$C$6*100,100)</f>
        <v>18.5273333333333</v>
      </c>
      <c r="D39" s="19" t="n">
        <f aca="false">MIN(Customer_Data!H39/Tier_Criteria!$C$7*100,100)</f>
        <v>16.6666666666667</v>
      </c>
      <c r="E39" s="19" t="n">
        <f aca="false">MIN(Customer_Data!J39/Tier_Criteria!$C$8*100,100)</f>
        <v>17</v>
      </c>
      <c r="F39" s="19" t="n">
        <f aca="false">MIN(Customer_Data!K39/Tier_Criteria!$C$9*100,100)</f>
        <v>15.9206666666667</v>
      </c>
      <c r="G39" s="19" t="n">
        <f aca="false">B39*Tier_Criteria!$B$5+C39*Tier_Criteria!$B$6+D39*Tier_Criteria!$B$7+E39*Tier_Criteria!$B$8+F39*Tier_Criteria!$B$9</f>
        <v>23.8440833333333</v>
      </c>
      <c r="H39" s="13" t="str">
        <f aca="false">INDEX(Tier_Criteria!$A$15:$A$18,MATCH(G39,Tier_Criteria!$B$15:$B$18,1))</f>
        <v>Mass</v>
      </c>
      <c r="I39" s="18" t="str">
        <f aca="false">Customer_Data!I39</f>
        <v>N</v>
      </c>
      <c r="J39" s="13" t="str">
        <f aca="false">IF(AND(OR(H39="HNI",H39="UHNI"),I39="N"),"High Priority - No Investment Product",IF(AND(H39="Mass Affluent",I39="N"),"Medium Priority - Entry Wealth Product","Standard / Retain"))</f>
        <v>Standard / Retain</v>
      </c>
    </row>
    <row r="40" customFormat="false" ht="15" hidden="false" customHeight="false" outlineLevel="0" collapsed="false">
      <c r="A40" s="18" t="str">
        <f aca="false">Customer_Data!A40</f>
        <v>CUST-1037</v>
      </c>
      <c r="B40" s="19" t="n">
        <f aca="false">MIN(Customer_Data!F40/Tier_Criteria!$C$5*100,100)</f>
        <v>100</v>
      </c>
      <c r="C40" s="19" t="n">
        <f aca="false">MIN(Customer_Data!G40/Tier_Criteria!$C$6*100,100)</f>
        <v>0</v>
      </c>
      <c r="D40" s="19" t="n">
        <f aca="false">MIN(Customer_Data!H40/Tier_Criteria!$C$7*100,100)</f>
        <v>33.3333333333333</v>
      </c>
      <c r="E40" s="19" t="n">
        <f aca="false">MIN(Customer_Data!J40/Tier_Criteria!$C$8*100,100)</f>
        <v>48</v>
      </c>
      <c r="F40" s="19" t="n">
        <f aca="false">MIN(Customer_Data!K40/Tier_Criteria!$C$9*100,100)</f>
        <v>50.8893333333333</v>
      </c>
      <c r="G40" s="19" t="n">
        <f aca="false">B40*Tier_Criteria!$B$5+C40*Tier_Criteria!$B$6+D40*Tier_Criteria!$B$7+E40*Tier_Criteria!$B$8+F40*Tier_Criteria!$B$9</f>
        <v>52.4334</v>
      </c>
      <c r="H40" s="13" t="str">
        <f aca="false">INDEX(Tier_Criteria!$A$15:$A$18,MATCH(G40,Tier_Criteria!$B$15:$B$18,1))</f>
        <v>Mass Affluent</v>
      </c>
      <c r="I40" s="18" t="str">
        <f aca="false">Customer_Data!I40</f>
        <v>N</v>
      </c>
      <c r="J40" s="13" t="str">
        <f aca="false">IF(AND(OR(H40="HNI",H40="UHNI"),I40="N"),"High Priority - No Investment Product",IF(AND(H40="Mass Affluent",I40="N"),"Medium Priority - Entry Wealth Product","Standard / Retain"))</f>
        <v>Medium Priority - Entry Wealth Product</v>
      </c>
    </row>
    <row r="41" customFormat="false" ht="15" hidden="false" customHeight="false" outlineLevel="0" collapsed="false">
      <c r="A41" s="18" t="str">
        <f aca="false">Customer_Data!A41</f>
        <v>CUST-1038</v>
      </c>
      <c r="B41" s="19" t="n">
        <f aca="false">MIN(Customer_Data!F41/Tier_Criteria!$C$5*100,100)</f>
        <v>82.9193</v>
      </c>
      <c r="C41" s="19" t="n">
        <f aca="false">MIN(Customer_Data!G41/Tier_Criteria!$C$6*100,100)</f>
        <v>41.9789166666667</v>
      </c>
      <c r="D41" s="19" t="n">
        <f aca="false">MIN(Customer_Data!H41/Tier_Criteria!$C$7*100,100)</f>
        <v>50</v>
      </c>
      <c r="E41" s="19" t="n">
        <f aca="false">MIN(Customer_Data!J41/Tier_Criteria!$C$8*100,100)</f>
        <v>50</v>
      </c>
      <c r="F41" s="19" t="n">
        <f aca="false">MIN(Customer_Data!K41/Tier_Criteria!$C$9*100,100)</f>
        <v>31.874</v>
      </c>
      <c r="G41" s="19" t="n">
        <f aca="false">B41*Tier_Criteria!$B$5+C41*Tier_Criteria!$B$6+D41*Tier_Criteria!$B$7+E41*Tier_Criteria!$B$8+F41*Tier_Criteria!$B$9</f>
        <v>56.7975841666667</v>
      </c>
      <c r="H41" s="13" t="str">
        <f aca="false">INDEX(Tier_Criteria!$A$15:$A$18,MATCH(G41,Tier_Criteria!$B$15:$B$18,1))</f>
        <v>Mass Affluent</v>
      </c>
      <c r="I41" s="18" t="str">
        <f aca="false">Customer_Data!I41</f>
        <v>N</v>
      </c>
      <c r="J41" s="13" t="str">
        <f aca="false">IF(AND(OR(H41="HNI",H41="UHNI"),I41="N"),"High Priority - No Investment Product",IF(AND(H41="Mass Affluent",I41="N"),"Medium Priority - Entry Wealth Product","Standard / Retain"))</f>
        <v>Medium Priority - Entry Wealth Product</v>
      </c>
    </row>
    <row r="42" customFormat="false" ht="15" hidden="false" customHeight="false" outlineLevel="0" collapsed="false">
      <c r="A42" s="18" t="str">
        <f aca="false">Customer_Data!A42</f>
        <v>CUST-1039</v>
      </c>
      <c r="B42" s="19" t="n">
        <f aca="false">MIN(Customer_Data!F42/Tier_Criteria!$C$5*100,100)</f>
        <v>36.08425</v>
      </c>
      <c r="C42" s="19" t="n">
        <f aca="false">MIN(Customer_Data!G42/Tier_Criteria!$C$6*100,100)</f>
        <v>14.6817777777778</v>
      </c>
      <c r="D42" s="19" t="n">
        <f aca="false">MIN(Customer_Data!H42/Tier_Criteria!$C$7*100,100)</f>
        <v>33.3333333333333</v>
      </c>
      <c r="E42" s="19" t="n">
        <f aca="false">MIN(Customer_Data!J42/Tier_Criteria!$C$8*100,100)</f>
        <v>19</v>
      </c>
      <c r="F42" s="19" t="n">
        <f aca="false">MIN(Customer_Data!K42/Tier_Criteria!$C$9*100,100)</f>
        <v>23.0813333333333</v>
      </c>
      <c r="G42" s="19" t="n">
        <f aca="false">B42*Tier_Criteria!$B$5+C42*Tier_Criteria!$B$6+D42*Tier_Criteria!$B$7+E42*Tier_Criteria!$B$8+F42*Tier_Criteria!$B$9</f>
        <v>26.6621319444444</v>
      </c>
      <c r="H42" s="13" t="str">
        <f aca="false">INDEX(Tier_Criteria!$A$15:$A$18,MATCH(G42,Tier_Criteria!$B$15:$B$18,1))</f>
        <v>Mass</v>
      </c>
      <c r="I42" s="18" t="str">
        <f aca="false">Customer_Data!I42</f>
        <v>N</v>
      </c>
      <c r="J42" s="13" t="str">
        <f aca="false">IF(AND(OR(H42="HNI",H42="UHNI"),I42="N"),"High Priority - No Investment Product",IF(AND(H42="Mass Affluent",I42="N"),"Medium Priority - Entry Wealth Product","Standard / Retain"))</f>
        <v>Standard / Retain</v>
      </c>
    </row>
    <row r="43" customFormat="false" ht="15" hidden="false" customHeight="false" outlineLevel="0" collapsed="false">
      <c r="A43" s="18" t="str">
        <f aca="false">Customer_Data!A43</f>
        <v>CUST-1040</v>
      </c>
      <c r="B43" s="19" t="n">
        <f aca="false">MIN(Customer_Data!F43/Tier_Criteria!$C$5*100,100)</f>
        <v>37.50265</v>
      </c>
      <c r="C43" s="19" t="n">
        <f aca="false">MIN(Customer_Data!G43/Tier_Criteria!$C$6*100,100)</f>
        <v>12.0265833333333</v>
      </c>
      <c r="D43" s="19" t="n">
        <f aca="false">MIN(Customer_Data!H43/Tier_Criteria!$C$7*100,100)</f>
        <v>16.6666666666667</v>
      </c>
      <c r="E43" s="19" t="n">
        <f aca="false">MIN(Customer_Data!J43/Tier_Criteria!$C$8*100,100)</f>
        <v>13</v>
      </c>
      <c r="F43" s="19" t="n">
        <f aca="false">MIN(Customer_Data!K43/Tier_Criteria!$C$9*100,100)</f>
        <v>21.0273333333333</v>
      </c>
      <c r="G43" s="19" t="n">
        <f aca="false">B43*Tier_Criteria!$B$5+C43*Tier_Criteria!$B$6+D43*Tier_Criteria!$B$7+E43*Tier_Criteria!$B$8+F43*Tier_Criteria!$B$9</f>
        <v>23.0866733333333</v>
      </c>
      <c r="H43" s="13" t="str">
        <f aca="false">INDEX(Tier_Criteria!$A$15:$A$18,MATCH(G43,Tier_Criteria!$B$15:$B$18,1))</f>
        <v>Mass</v>
      </c>
      <c r="I43" s="18" t="str">
        <f aca="false">Customer_Data!I43</f>
        <v>N</v>
      </c>
      <c r="J43" s="13" t="str">
        <f aca="false">IF(AND(OR(H43="HNI",H43="UHNI"),I43="N"),"High Priority - No Investment Product",IF(AND(H43="Mass Affluent",I43="N"),"Medium Priority - Entry Wealth Product","Standard / Retain"))</f>
        <v>Standard / Retain</v>
      </c>
    </row>
    <row r="44" customFormat="false" ht="15" hidden="false" customHeight="false" outlineLevel="0" collapsed="false">
      <c r="A44" s="18" t="str">
        <f aca="false">Customer_Data!A44</f>
        <v>CUST-1041</v>
      </c>
      <c r="B44" s="19" t="n">
        <f aca="false">MIN(Customer_Data!F44/Tier_Criteria!$C$5*100,100)</f>
        <v>100</v>
      </c>
      <c r="C44" s="19" t="n">
        <f aca="false">MIN(Customer_Data!G44/Tier_Criteria!$C$6*100,100)</f>
        <v>45.18225</v>
      </c>
      <c r="D44" s="19" t="n">
        <f aca="false">MIN(Customer_Data!H44/Tier_Criteria!$C$7*100,100)</f>
        <v>50</v>
      </c>
      <c r="E44" s="19" t="n">
        <f aca="false">MIN(Customer_Data!J44/Tier_Criteria!$C$8*100,100)</f>
        <v>65</v>
      </c>
      <c r="F44" s="19" t="n">
        <f aca="false">MIN(Customer_Data!K44/Tier_Criteria!$C$9*100,100)</f>
        <v>93.6706666666667</v>
      </c>
      <c r="G44" s="19" t="n">
        <f aca="false">B44*Tier_Criteria!$B$5+C44*Tier_Criteria!$B$6+D44*Tier_Criteria!$B$7+E44*Tier_Criteria!$B$8+F44*Tier_Criteria!$B$9</f>
        <v>74.3461625</v>
      </c>
      <c r="H44" s="13" t="str">
        <f aca="false">INDEX(Tier_Criteria!$A$15:$A$18,MATCH(G44,Tier_Criteria!$B$15:$B$18,1))</f>
        <v>HNI</v>
      </c>
      <c r="I44" s="18" t="str">
        <f aca="false">Customer_Data!I44</f>
        <v>Y</v>
      </c>
      <c r="J44" s="13" t="str">
        <f aca="false">IF(AND(OR(H44="HNI",H44="UHNI"),I44="N"),"High Priority - No Investment Product",IF(AND(H44="Mass Affluent",I44="N"),"Medium Priority - Entry Wealth Product","Standard / Retain"))</f>
        <v>Standard / Retain</v>
      </c>
    </row>
    <row r="45" customFormat="false" ht="15" hidden="false" customHeight="false" outlineLevel="0" collapsed="false">
      <c r="A45" s="18" t="str">
        <f aca="false">Customer_Data!A45</f>
        <v>CUST-1042</v>
      </c>
      <c r="B45" s="19" t="n">
        <f aca="false">MIN(Customer_Data!F45/Tier_Criteria!$C$5*100,100)</f>
        <v>100</v>
      </c>
      <c r="C45" s="19" t="n">
        <f aca="false">MIN(Customer_Data!G45/Tier_Criteria!$C$6*100,100)</f>
        <v>48.537</v>
      </c>
      <c r="D45" s="19" t="n">
        <f aca="false">MIN(Customer_Data!H45/Tier_Criteria!$C$7*100,100)</f>
        <v>33.3333333333333</v>
      </c>
      <c r="E45" s="19" t="n">
        <f aca="false">MIN(Customer_Data!J45/Tier_Criteria!$C$8*100,100)</f>
        <v>45</v>
      </c>
      <c r="F45" s="19" t="n">
        <f aca="false">MIN(Customer_Data!K45/Tier_Criteria!$C$9*100,100)</f>
        <v>50.3353333333333</v>
      </c>
      <c r="G45" s="19" t="n">
        <f aca="false">B45*Tier_Criteria!$B$5+C45*Tier_Criteria!$B$6+D45*Tier_Criteria!$B$7+E45*Tier_Criteria!$B$8+F45*Tier_Criteria!$B$9</f>
        <v>64.18455</v>
      </c>
      <c r="H45" s="13" t="str">
        <f aca="false">INDEX(Tier_Criteria!$A$15:$A$18,MATCH(G45,Tier_Criteria!$B$15:$B$18,1))</f>
        <v>Mass Affluent</v>
      </c>
      <c r="I45" s="18" t="str">
        <f aca="false">Customer_Data!I45</f>
        <v>N</v>
      </c>
      <c r="J45" s="13" t="str">
        <f aca="false">IF(AND(OR(H45="HNI",H45="UHNI"),I45="N"),"High Priority - No Investment Product",IF(AND(H45="Mass Affluent",I45="N"),"Medium Priority - Entry Wealth Product","Standard / Retain"))</f>
        <v>Medium Priority - Entry Wealth Product</v>
      </c>
    </row>
    <row r="46" customFormat="false" ht="15" hidden="false" customHeight="false" outlineLevel="0" collapsed="false">
      <c r="A46" s="18" t="str">
        <f aca="false">Customer_Data!A46</f>
        <v>CUST-1043</v>
      </c>
      <c r="B46" s="19" t="n">
        <f aca="false">MIN(Customer_Data!F46/Tier_Criteria!$C$5*100,100)</f>
        <v>100</v>
      </c>
      <c r="C46" s="19" t="n">
        <f aca="false">MIN(Customer_Data!G46/Tier_Criteria!$C$6*100,100)</f>
        <v>35.3093333333333</v>
      </c>
      <c r="D46" s="19" t="n">
        <f aca="false">MIN(Customer_Data!H46/Tier_Criteria!$C$7*100,100)</f>
        <v>16.6666666666667</v>
      </c>
      <c r="E46" s="19" t="n">
        <f aca="false">MIN(Customer_Data!J46/Tier_Criteria!$C$8*100,100)</f>
        <v>29</v>
      </c>
      <c r="F46" s="19" t="n">
        <f aca="false">MIN(Customer_Data!K46/Tier_Criteria!$C$9*100,100)</f>
        <v>35.834</v>
      </c>
      <c r="G46" s="19" t="n">
        <f aca="false">B46*Tier_Criteria!$B$5+C46*Tier_Criteria!$B$6+D46*Tier_Criteria!$B$7+E46*Tier_Criteria!$B$8+F46*Tier_Criteria!$B$9</f>
        <v>54.6024333333333</v>
      </c>
      <c r="H46" s="13" t="str">
        <f aca="false">INDEX(Tier_Criteria!$A$15:$A$18,MATCH(G46,Tier_Criteria!$B$15:$B$18,1))</f>
        <v>Mass Affluent</v>
      </c>
      <c r="I46" s="18" t="str">
        <f aca="false">Customer_Data!I46</f>
        <v>N</v>
      </c>
      <c r="J46" s="13" t="str">
        <f aca="false">IF(AND(OR(H46="HNI",H46="UHNI"),I46="N"),"High Priority - No Investment Product",IF(AND(H46="Mass Affluent",I46="N"),"Medium Priority - Entry Wealth Product","Standard / Retain"))</f>
        <v>Medium Priority - Entry Wealth Product</v>
      </c>
    </row>
    <row r="47" customFormat="false" ht="15" hidden="false" customHeight="false" outlineLevel="0" collapsed="false">
      <c r="A47" s="18" t="str">
        <f aca="false">Customer_Data!A47</f>
        <v>CUST-1044</v>
      </c>
      <c r="B47" s="19" t="n">
        <f aca="false">MIN(Customer_Data!F47/Tier_Criteria!$C$5*100,100)</f>
        <v>78.8625</v>
      </c>
      <c r="C47" s="19" t="n">
        <f aca="false">MIN(Customer_Data!G47/Tier_Criteria!$C$6*100,100)</f>
        <v>58.2356944444444</v>
      </c>
      <c r="D47" s="19" t="n">
        <f aca="false">MIN(Customer_Data!H47/Tier_Criteria!$C$7*100,100)</f>
        <v>50</v>
      </c>
      <c r="E47" s="19" t="n">
        <f aca="false">MIN(Customer_Data!J47/Tier_Criteria!$C$8*100,100)</f>
        <v>31</v>
      </c>
      <c r="F47" s="19" t="n">
        <f aca="false">MIN(Customer_Data!K47/Tier_Criteria!$C$9*100,100)</f>
        <v>57.0386666666667</v>
      </c>
      <c r="G47" s="19" t="n">
        <f aca="false">B47*Tier_Criteria!$B$5+C47*Tier_Criteria!$B$6+D47*Tier_Criteria!$B$7+E47*Tier_Criteria!$B$8+F47*Tier_Criteria!$B$9</f>
        <v>61.3165986111111</v>
      </c>
      <c r="H47" s="13" t="str">
        <f aca="false">INDEX(Tier_Criteria!$A$15:$A$18,MATCH(G47,Tier_Criteria!$B$15:$B$18,1))</f>
        <v>Mass Affluent</v>
      </c>
      <c r="I47" s="18" t="str">
        <f aca="false">Customer_Data!I47</f>
        <v>N</v>
      </c>
      <c r="J47" s="13" t="str">
        <f aca="false">IF(AND(OR(H47="HNI",H47="UHNI"),I47="N"),"High Priority - No Investment Product",IF(AND(H47="Mass Affluent",I47="N"),"Medium Priority - Entry Wealth Product","Standard / Retain"))</f>
        <v>Medium Priority - Entry Wealth Product</v>
      </c>
    </row>
    <row r="48" customFormat="false" ht="15" hidden="false" customHeight="false" outlineLevel="0" collapsed="false">
      <c r="A48" s="18" t="str">
        <f aca="false">Customer_Data!A48</f>
        <v>CUST-1045</v>
      </c>
      <c r="B48" s="19" t="n">
        <f aca="false">MIN(Customer_Data!F48/Tier_Criteria!$C$5*100,100)</f>
        <v>83.156</v>
      </c>
      <c r="C48" s="19" t="n">
        <f aca="false">MIN(Customer_Data!G48/Tier_Criteria!$C$6*100,100)</f>
        <v>58.4655277777778</v>
      </c>
      <c r="D48" s="19" t="n">
        <f aca="false">MIN(Customer_Data!H48/Tier_Criteria!$C$7*100,100)</f>
        <v>50</v>
      </c>
      <c r="E48" s="19" t="n">
        <f aca="false">MIN(Customer_Data!J48/Tier_Criteria!$C$8*100,100)</f>
        <v>36</v>
      </c>
      <c r="F48" s="19" t="n">
        <f aca="false">MIN(Customer_Data!K48/Tier_Criteria!$C$9*100,100)</f>
        <v>23.682</v>
      </c>
      <c r="G48" s="19" t="n">
        <f aca="false">B48*Tier_Criteria!$B$5+C48*Tier_Criteria!$B$6+D48*Tier_Criteria!$B$7+E48*Tier_Criteria!$B$8+F48*Tier_Criteria!$B$9</f>
        <v>58.3732819444444</v>
      </c>
      <c r="H48" s="13" t="str">
        <f aca="false">INDEX(Tier_Criteria!$A$15:$A$18,MATCH(G48,Tier_Criteria!$B$15:$B$18,1))</f>
        <v>Mass Affluent</v>
      </c>
      <c r="I48" s="18" t="str">
        <f aca="false">Customer_Data!I48</f>
        <v>N</v>
      </c>
      <c r="J48" s="13" t="str">
        <f aca="false">IF(AND(OR(H48="HNI",H48="UHNI"),I48="N"),"High Priority - No Investment Product",IF(AND(H48="Mass Affluent",I48="N"),"Medium Priority - Entry Wealth Product","Standard / Retain"))</f>
        <v>Medium Priority - Entry Wealth Product</v>
      </c>
    </row>
    <row r="49" customFormat="false" ht="15" hidden="false" customHeight="false" outlineLevel="0" collapsed="false">
      <c r="A49" s="18" t="str">
        <f aca="false">Customer_Data!A49</f>
        <v>CUST-1046</v>
      </c>
      <c r="B49" s="19" t="n">
        <f aca="false">MIN(Customer_Data!F49/Tier_Criteria!$C$5*100,100)</f>
        <v>68.3869</v>
      </c>
      <c r="C49" s="19" t="n">
        <f aca="false">MIN(Customer_Data!G49/Tier_Criteria!$C$6*100,100)</f>
        <v>39.7977222222222</v>
      </c>
      <c r="D49" s="19" t="n">
        <f aca="false">MIN(Customer_Data!H49/Tier_Criteria!$C$7*100,100)</f>
        <v>16.6666666666667</v>
      </c>
      <c r="E49" s="19" t="n">
        <f aca="false">MIN(Customer_Data!J49/Tier_Criteria!$C$8*100,100)</f>
        <v>27</v>
      </c>
      <c r="F49" s="19" t="n">
        <f aca="false">MIN(Customer_Data!K49/Tier_Criteria!$C$9*100,100)</f>
        <v>35.48</v>
      </c>
      <c r="G49" s="19" t="n">
        <f aca="false">B49*Tier_Criteria!$B$5+C49*Tier_Criteria!$B$6+D49*Tier_Criteria!$B$7+E49*Tier_Criteria!$B$8+F49*Tier_Criteria!$B$9</f>
        <v>44.4068455555556</v>
      </c>
      <c r="H49" s="13" t="str">
        <f aca="false">INDEX(Tier_Criteria!$A$15:$A$18,MATCH(G49,Tier_Criteria!$B$15:$B$18,1))</f>
        <v>Mass Affluent</v>
      </c>
      <c r="I49" s="18" t="str">
        <f aca="false">Customer_Data!I49</f>
        <v>N</v>
      </c>
      <c r="J49" s="13" t="str">
        <f aca="false">IF(AND(OR(H49="HNI",H49="UHNI"),I49="N"),"High Priority - No Investment Product",IF(AND(H49="Mass Affluent",I49="N"),"Medium Priority - Entry Wealth Product","Standard / Retain"))</f>
        <v>Medium Priority - Entry Wealth Product</v>
      </c>
    </row>
    <row r="50" customFormat="false" ht="15" hidden="false" customHeight="false" outlineLevel="0" collapsed="false">
      <c r="A50" s="18" t="str">
        <f aca="false">Customer_Data!A50</f>
        <v>CUST-1047</v>
      </c>
      <c r="B50" s="19" t="n">
        <f aca="false">MIN(Customer_Data!F50/Tier_Criteria!$C$5*100,100)</f>
        <v>80.47615</v>
      </c>
      <c r="C50" s="19" t="n">
        <f aca="false">MIN(Customer_Data!G50/Tier_Criteria!$C$6*100,100)</f>
        <v>25.2726944444444</v>
      </c>
      <c r="D50" s="19" t="n">
        <f aca="false">MIN(Customer_Data!H50/Tier_Criteria!$C$7*100,100)</f>
        <v>16.6666666666667</v>
      </c>
      <c r="E50" s="19" t="n">
        <f aca="false">MIN(Customer_Data!J50/Tier_Criteria!$C$8*100,100)</f>
        <v>24</v>
      </c>
      <c r="F50" s="19" t="n">
        <f aca="false">MIN(Customer_Data!K50/Tier_Criteria!$C$9*100,100)</f>
        <v>22.14</v>
      </c>
      <c r="G50" s="19" t="n">
        <f aca="false">B50*Tier_Criteria!$B$5+C50*Tier_Criteria!$B$6+D50*Tier_Criteria!$B$7+E50*Tier_Criteria!$B$8+F50*Tier_Criteria!$B$9</f>
        <v>42.7058261111111</v>
      </c>
      <c r="H50" s="13" t="str">
        <f aca="false">INDEX(Tier_Criteria!$A$15:$A$18,MATCH(G50,Tier_Criteria!$B$15:$B$18,1))</f>
        <v>Mass Affluent</v>
      </c>
      <c r="I50" s="18" t="str">
        <f aca="false">Customer_Data!I50</f>
        <v>N</v>
      </c>
      <c r="J50" s="13" t="str">
        <f aca="false">IF(AND(OR(H50="HNI",H50="UHNI"),I50="N"),"High Priority - No Investment Product",IF(AND(H50="Mass Affluent",I50="N"),"Medium Priority - Entry Wealth Product","Standard / Retain"))</f>
        <v>Medium Priority - Entry Wealth Product</v>
      </c>
    </row>
    <row r="51" customFormat="false" ht="15" hidden="false" customHeight="false" outlineLevel="0" collapsed="false">
      <c r="A51" s="18" t="str">
        <f aca="false">Customer_Data!A51</f>
        <v>CUST-1048</v>
      </c>
      <c r="B51" s="19" t="n">
        <f aca="false">MIN(Customer_Data!F51/Tier_Criteria!$C$5*100,100)</f>
        <v>100</v>
      </c>
      <c r="C51" s="19" t="n">
        <f aca="false">MIN(Customer_Data!G51/Tier_Criteria!$C$6*100,100)</f>
        <v>76.9956944444444</v>
      </c>
      <c r="D51" s="19" t="n">
        <f aca="false">MIN(Customer_Data!H51/Tier_Criteria!$C$7*100,100)</f>
        <v>66.6666666666667</v>
      </c>
      <c r="E51" s="19" t="n">
        <f aca="false">MIN(Customer_Data!J51/Tier_Criteria!$C$8*100,100)</f>
        <v>46</v>
      </c>
      <c r="F51" s="19" t="n">
        <f aca="false">MIN(Customer_Data!K51/Tier_Criteria!$C$9*100,100)</f>
        <v>42.69</v>
      </c>
      <c r="G51" s="19" t="n">
        <f aca="false">B51*Tier_Criteria!$B$5+C51*Tier_Criteria!$B$6+D51*Tier_Criteria!$B$7+E51*Tier_Criteria!$B$8+F51*Tier_Criteria!$B$9</f>
        <v>75.2524236111111</v>
      </c>
      <c r="H51" s="13" t="str">
        <f aca="false">INDEX(Tier_Criteria!$A$15:$A$18,MATCH(G51,Tier_Criteria!$B$15:$B$18,1))</f>
        <v>HNI</v>
      </c>
      <c r="I51" s="18" t="str">
        <f aca="false">Customer_Data!I51</f>
        <v>Y</v>
      </c>
      <c r="J51" s="13" t="str">
        <f aca="false">IF(AND(OR(H51="HNI",H51="UHNI"),I51="N"),"High Priority - No Investment Product",IF(AND(H51="Mass Affluent",I51="N"),"Medium Priority - Entry Wealth Product","Standard / Retain"))</f>
        <v>Standard / Retain</v>
      </c>
    </row>
    <row r="52" customFormat="false" ht="15" hidden="false" customHeight="false" outlineLevel="0" collapsed="false">
      <c r="A52" s="18" t="str">
        <f aca="false">Customer_Data!A52</f>
        <v>CUST-1049</v>
      </c>
      <c r="B52" s="19" t="n">
        <f aca="false">MIN(Customer_Data!F52/Tier_Criteria!$C$5*100,100)</f>
        <v>99.9625</v>
      </c>
      <c r="C52" s="19" t="n">
        <f aca="false">MIN(Customer_Data!G52/Tier_Criteria!$C$6*100,100)</f>
        <v>37.6161944444444</v>
      </c>
      <c r="D52" s="19" t="n">
        <f aca="false">MIN(Customer_Data!H52/Tier_Criteria!$C$7*100,100)</f>
        <v>33.3333333333333</v>
      </c>
      <c r="E52" s="19" t="n">
        <f aca="false">MIN(Customer_Data!J52/Tier_Criteria!$C$8*100,100)</f>
        <v>36</v>
      </c>
      <c r="F52" s="19" t="n">
        <f aca="false">MIN(Customer_Data!K52/Tier_Criteria!$C$9*100,100)</f>
        <v>24.3746666666667</v>
      </c>
      <c r="G52" s="19" t="n">
        <f aca="false">B52*Tier_Criteria!$B$5+C52*Tier_Criteria!$B$6+D52*Tier_Criteria!$B$7+E52*Tier_Criteria!$B$8+F52*Tier_Criteria!$B$9</f>
        <v>56.6471236111111</v>
      </c>
      <c r="H52" s="13" t="str">
        <f aca="false">INDEX(Tier_Criteria!$A$15:$A$18,MATCH(G52,Tier_Criteria!$B$15:$B$18,1))</f>
        <v>Mass Affluent</v>
      </c>
      <c r="I52" s="18" t="str">
        <f aca="false">Customer_Data!I52</f>
        <v>N</v>
      </c>
      <c r="J52" s="13" t="str">
        <f aca="false">IF(AND(OR(H52="HNI",H52="UHNI"),I52="N"),"High Priority - No Investment Product",IF(AND(H52="Mass Affluent",I52="N"),"Medium Priority - Entry Wealth Product","Standard / Retain"))</f>
        <v>Medium Priority - Entry Wealth Product</v>
      </c>
    </row>
    <row r="53" customFormat="false" ht="15" hidden="false" customHeight="false" outlineLevel="0" collapsed="false">
      <c r="A53" s="18" t="str">
        <f aca="false">Customer_Data!A53</f>
        <v>CUST-1050</v>
      </c>
      <c r="B53" s="19" t="n">
        <f aca="false">MIN(Customer_Data!F53/Tier_Criteria!$C$5*100,100)</f>
        <v>15.5891</v>
      </c>
      <c r="C53" s="19" t="n">
        <f aca="false">MIN(Customer_Data!G53/Tier_Criteria!$C$6*100,100)</f>
        <v>12.6439444444444</v>
      </c>
      <c r="D53" s="19" t="n">
        <f aca="false">MIN(Customer_Data!H53/Tier_Criteria!$C$7*100,100)</f>
        <v>33.3333333333333</v>
      </c>
      <c r="E53" s="19" t="n">
        <f aca="false">MIN(Customer_Data!J53/Tier_Criteria!$C$8*100,100)</f>
        <v>9</v>
      </c>
      <c r="F53" s="19" t="n">
        <f aca="false">MIN(Customer_Data!K53/Tier_Criteria!$C$9*100,100)</f>
        <v>7.38</v>
      </c>
      <c r="G53" s="19" t="n">
        <f aca="false">B53*Tier_Criteria!$B$5+C53*Tier_Criteria!$B$6+D53*Tier_Criteria!$B$7+E53*Tier_Criteria!$B$8+F53*Tier_Criteria!$B$9</f>
        <v>15.6241711111111</v>
      </c>
      <c r="H53" s="13" t="str">
        <f aca="false">INDEX(Tier_Criteria!$A$15:$A$18,MATCH(G53,Tier_Criteria!$B$15:$B$18,1))</f>
        <v>Mass</v>
      </c>
      <c r="I53" s="18" t="str">
        <f aca="false">Customer_Data!I53</f>
        <v>N</v>
      </c>
      <c r="J53" s="13" t="str">
        <f aca="false">IF(AND(OR(H53="HNI",H53="UHNI"),I53="N"),"High Priority - No Investment Product",IF(AND(H53="Mass Affluent",I53="N"),"Medium Priority - Entry Wealth Product","Standard / Retain"))</f>
        <v>Standard / Retain</v>
      </c>
    </row>
    <row r="54" customFormat="false" ht="15" hidden="false" customHeight="false" outlineLevel="0" collapsed="false">
      <c r="A54" s="18" t="str">
        <f aca="false">Customer_Data!A54</f>
        <v>CUST-1051</v>
      </c>
      <c r="B54" s="19" t="n">
        <f aca="false">MIN(Customer_Data!F54/Tier_Criteria!$C$5*100,100)</f>
        <v>96.3891</v>
      </c>
      <c r="C54" s="19" t="n">
        <f aca="false">MIN(Customer_Data!G54/Tier_Criteria!$C$6*100,100)</f>
        <v>56.8751388888889</v>
      </c>
      <c r="D54" s="19" t="n">
        <f aca="false">MIN(Customer_Data!H54/Tier_Criteria!$C$7*100,100)</f>
        <v>50</v>
      </c>
      <c r="E54" s="19" t="n">
        <f aca="false">MIN(Customer_Data!J54/Tier_Criteria!$C$8*100,100)</f>
        <v>36</v>
      </c>
      <c r="F54" s="19" t="n">
        <f aca="false">MIN(Customer_Data!K54/Tier_Criteria!$C$9*100,100)</f>
        <v>71.3186666666667</v>
      </c>
      <c r="G54" s="19" t="n">
        <f aca="false">B54*Tier_Criteria!$B$5+C54*Tier_Criteria!$B$6+D54*Tier_Criteria!$B$7+E54*Tier_Criteria!$B$8+F54*Tier_Criteria!$B$9</f>
        <v>69.7527697222222</v>
      </c>
      <c r="H54" s="13" t="str">
        <f aca="false">INDEX(Tier_Criteria!$A$15:$A$18,MATCH(G54,Tier_Criteria!$B$15:$B$18,1))</f>
        <v>HNI</v>
      </c>
      <c r="I54" s="18" t="str">
        <f aca="false">Customer_Data!I54</f>
        <v>Y</v>
      </c>
      <c r="J54" s="13" t="str">
        <f aca="false">IF(AND(OR(H54="HNI",H54="UHNI"),I54="N"),"High Priority - No Investment Product",IF(AND(H54="Mass Affluent",I54="N"),"Medium Priority - Entry Wealth Product","Standard / Retain"))</f>
        <v>Standard / Retain</v>
      </c>
    </row>
    <row r="55" customFormat="false" ht="15" hidden="false" customHeight="false" outlineLevel="0" collapsed="false">
      <c r="A55" s="18" t="str">
        <f aca="false">Customer_Data!A55</f>
        <v>CUST-1052</v>
      </c>
      <c r="B55" s="19" t="n">
        <f aca="false">MIN(Customer_Data!F55/Tier_Criteria!$C$5*100,100)</f>
        <v>23.40915</v>
      </c>
      <c r="C55" s="19" t="n">
        <f aca="false">MIN(Customer_Data!G55/Tier_Criteria!$C$6*100,100)</f>
        <v>13.5250833333333</v>
      </c>
      <c r="D55" s="19" t="n">
        <f aca="false">MIN(Customer_Data!H55/Tier_Criteria!$C$7*100,100)</f>
        <v>16.6666666666667</v>
      </c>
      <c r="E55" s="19" t="n">
        <f aca="false">MIN(Customer_Data!J55/Tier_Criteria!$C$8*100,100)</f>
        <v>8</v>
      </c>
      <c r="F55" s="19" t="n">
        <f aca="false">MIN(Customer_Data!K55/Tier_Criteria!$C$9*100,100)</f>
        <v>9.02</v>
      </c>
      <c r="G55" s="19" t="n">
        <f aca="false">B55*Tier_Criteria!$B$5+C55*Tier_Criteria!$B$6+D55*Tier_Criteria!$B$7+E55*Tier_Criteria!$B$8+F55*Tier_Criteria!$B$9</f>
        <v>16.2274733333333</v>
      </c>
      <c r="H55" s="13" t="str">
        <f aca="false">INDEX(Tier_Criteria!$A$15:$A$18,MATCH(G55,Tier_Criteria!$B$15:$B$18,1))</f>
        <v>Mass</v>
      </c>
      <c r="I55" s="18" t="str">
        <f aca="false">Customer_Data!I55</f>
        <v>N</v>
      </c>
      <c r="J55" s="13" t="str">
        <f aca="false">IF(AND(OR(H55="HNI",H55="UHNI"),I55="N"),"High Priority - No Investment Product",IF(AND(H55="Mass Affluent",I55="N"),"Medium Priority - Entry Wealth Product","Standard / Retain"))</f>
        <v>Standard / Retain</v>
      </c>
    </row>
    <row r="56" customFormat="false" ht="15" hidden="false" customHeight="false" outlineLevel="0" collapsed="false">
      <c r="A56" s="18" t="str">
        <f aca="false">Customer_Data!A56</f>
        <v>CUST-1053</v>
      </c>
      <c r="B56" s="19" t="n">
        <f aca="false">MIN(Customer_Data!F56/Tier_Criteria!$C$5*100,100)</f>
        <v>100</v>
      </c>
      <c r="C56" s="19" t="n">
        <f aca="false">MIN(Customer_Data!G56/Tier_Criteria!$C$6*100,100)</f>
        <v>59.6284444444444</v>
      </c>
      <c r="D56" s="19" t="n">
        <f aca="false">MIN(Customer_Data!H56/Tier_Criteria!$C$7*100,100)</f>
        <v>33.3333333333333</v>
      </c>
      <c r="E56" s="19" t="n">
        <f aca="false">MIN(Customer_Data!J56/Tier_Criteria!$C$8*100,100)</f>
        <v>35</v>
      </c>
      <c r="F56" s="19" t="n">
        <f aca="false">MIN(Customer_Data!K56/Tier_Criteria!$C$9*100,100)</f>
        <v>36.776</v>
      </c>
      <c r="G56" s="19" t="n">
        <f aca="false">B56*Tier_Criteria!$B$5+C56*Tier_Criteria!$B$6+D56*Tier_Criteria!$B$7+E56*Tier_Criteria!$B$8+F56*Tier_Criteria!$B$9</f>
        <v>63.9235111111111</v>
      </c>
      <c r="H56" s="13" t="str">
        <f aca="false">INDEX(Tier_Criteria!$A$15:$A$18,MATCH(G56,Tier_Criteria!$B$15:$B$18,1))</f>
        <v>Mass Affluent</v>
      </c>
      <c r="I56" s="18" t="str">
        <f aca="false">Customer_Data!I56</f>
        <v>N</v>
      </c>
      <c r="J56" s="13" t="str">
        <f aca="false">IF(AND(OR(H56="HNI",H56="UHNI"),I56="N"),"High Priority - No Investment Product",IF(AND(H56="Mass Affluent",I56="N"),"Medium Priority - Entry Wealth Product","Standard / Retain"))</f>
        <v>Medium Priority - Entry Wealth Product</v>
      </c>
    </row>
    <row r="57" customFormat="false" ht="15" hidden="false" customHeight="false" outlineLevel="0" collapsed="false">
      <c r="A57" s="18" t="str">
        <f aca="false">Customer_Data!A57</f>
        <v>CUST-1054</v>
      </c>
      <c r="B57" s="19" t="n">
        <f aca="false">MIN(Customer_Data!F57/Tier_Criteria!$C$5*100,100)</f>
        <v>92.2491</v>
      </c>
      <c r="C57" s="19" t="n">
        <f aca="false">MIN(Customer_Data!G57/Tier_Criteria!$C$6*100,100)</f>
        <v>38.7036944444444</v>
      </c>
      <c r="D57" s="19" t="n">
        <f aca="false">MIN(Customer_Data!H57/Tier_Criteria!$C$7*100,100)</f>
        <v>33.3333333333333</v>
      </c>
      <c r="E57" s="19" t="n">
        <f aca="false">MIN(Customer_Data!J57/Tier_Criteria!$C$8*100,100)</f>
        <v>53</v>
      </c>
      <c r="F57" s="19" t="n">
        <f aca="false">MIN(Customer_Data!K57/Tier_Criteria!$C$9*100,100)</f>
        <v>47.5306666666667</v>
      </c>
      <c r="G57" s="19" t="n">
        <f aca="false">B57*Tier_Criteria!$B$5+C57*Tier_Criteria!$B$6+D57*Tier_Criteria!$B$7+E57*Tier_Criteria!$B$8+F57*Tier_Criteria!$B$9</f>
        <v>59.3927086111111</v>
      </c>
      <c r="H57" s="13" t="str">
        <f aca="false">INDEX(Tier_Criteria!$A$15:$A$18,MATCH(G57,Tier_Criteria!$B$15:$B$18,1))</f>
        <v>Mass Affluent</v>
      </c>
      <c r="I57" s="18" t="str">
        <f aca="false">Customer_Data!I57</f>
        <v>N</v>
      </c>
      <c r="J57" s="13" t="str">
        <f aca="false">IF(AND(OR(H57="HNI",H57="UHNI"),I57="N"),"High Priority - No Investment Product",IF(AND(H57="Mass Affluent",I57="N"),"Medium Priority - Entry Wealth Product","Standard / Retain"))</f>
        <v>Medium Priority - Entry Wealth Product</v>
      </c>
    </row>
    <row r="58" customFormat="false" ht="15" hidden="false" customHeight="false" outlineLevel="0" collapsed="false">
      <c r="A58" s="18" t="str">
        <f aca="false">Customer_Data!A58</f>
        <v>CUST-1055</v>
      </c>
      <c r="B58" s="19" t="n">
        <f aca="false">MIN(Customer_Data!F58/Tier_Criteria!$C$5*100,100)</f>
        <v>100</v>
      </c>
      <c r="C58" s="19" t="n">
        <f aca="false">MIN(Customer_Data!G58/Tier_Criteria!$C$6*100,100)</f>
        <v>53.4465</v>
      </c>
      <c r="D58" s="19" t="n">
        <f aca="false">MIN(Customer_Data!H58/Tier_Criteria!$C$7*100,100)</f>
        <v>50</v>
      </c>
      <c r="E58" s="19" t="n">
        <f aca="false">MIN(Customer_Data!J58/Tier_Criteria!$C$8*100,100)</f>
        <v>41</v>
      </c>
      <c r="F58" s="19" t="n">
        <f aca="false">MIN(Customer_Data!K58/Tier_Criteria!$C$9*100,100)</f>
        <v>56.6866666666667</v>
      </c>
      <c r="G58" s="19" t="n">
        <f aca="false">B58*Tier_Criteria!$B$5+C58*Tier_Criteria!$B$6+D58*Tier_Criteria!$B$7+E58*Tier_Criteria!$B$8+F58*Tier_Criteria!$B$9</f>
        <v>68.464625</v>
      </c>
      <c r="H58" s="13" t="str">
        <f aca="false">INDEX(Tier_Criteria!$A$15:$A$18,MATCH(G58,Tier_Criteria!$B$15:$B$18,1))</f>
        <v>HNI</v>
      </c>
      <c r="I58" s="18" t="str">
        <f aca="false">Customer_Data!I58</f>
        <v>N</v>
      </c>
      <c r="J58" s="13" t="str">
        <f aca="false">IF(AND(OR(H58="HNI",H58="UHNI"),I58="N"),"High Priority - No Investment Product",IF(AND(H58="Mass Affluent",I58="N"),"Medium Priority - Entry Wealth Product","Standard / Retain"))</f>
        <v>High Priority - No Investment Product</v>
      </c>
    </row>
    <row r="59" customFormat="false" ht="15" hidden="false" customHeight="false" outlineLevel="0" collapsed="false">
      <c r="A59" s="18" t="str">
        <f aca="false">Customer_Data!A59</f>
        <v>CUST-1056</v>
      </c>
      <c r="B59" s="19" t="n">
        <f aca="false">MIN(Customer_Data!F59/Tier_Criteria!$C$5*100,100)</f>
        <v>100</v>
      </c>
      <c r="C59" s="19" t="n">
        <f aca="false">MIN(Customer_Data!G59/Tier_Criteria!$C$6*100,100)</f>
        <v>54.4764722222222</v>
      </c>
      <c r="D59" s="19" t="n">
        <f aca="false">MIN(Customer_Data!H59/Tier_Criteria!$C$7*100,100)</f>
        <v>50</v>
      </c>
      <c r="E59" s="19" t="n">
        <f aca="false">MIN(Customer_Data!J59/Tier_Criteria!$C$8*100,100)</f>
        <v>58</v>
      </c>
      <c r="F59" s="19" t="n">
        <f aca="false">MIN(Customer_Data!K59/Tier_Criteria!$C$9*100,100)</f>
        <v>30.884</v>
      </c>
      <c r="G59" s="19" t="n">
        <f aca="false">B59*Tier_Criteria!$B$5+C59*Tier_Criteria!$B$6+D59*Tier_Criteria!$B$7+E59*Tier_Criteria!$B$8+F59*Tier_Criteria!$B$9</f>
        <v>66.5517180555556</v>
      </c>
      <c r="H59" s="13" t="str">
        <f aca="false">INDEX(Tier_Criteria!$A$15:$A$18,MATCH(G59,Tier_Criteria!$B$15:$B$18,1))</f>
        <v>HNI</v>
      </c>
      <c r="I59" s="18" t="str">
        <f aca="false">Customer_Data!I59</f>
        <v>Y</v>
      </c>
      <c r="J59" s="13" t="str">
        <f aca="false">IF(AND(OR(H59="HNI",H59="UHNI"),I59="N"),"High Priority - No Investment Product",IF(AND(H59="Mass Affluent",I59="N"),"Medium Priority - Entry Wealth Product","Standard / Retain"))</f>
        <v>Standard / Retain</v>
      </c>
    </row>
    <row r="60" customFormat="false" ht="15" hidden="false" customHeight="false" outlineLevel="0" collapsed="false">
      <c r="A60" s="18" t="str">
        <f aca="false">Customer_Data!A60</f>
        <v>CUST-1057</v>
      </c>
      <c r="B60" s="19" t="n">
        <f aca="false">MIN(Customer_Data!F60/Tier_Criteria!$C$5*100,100)</f>
        <v>69.7117</v>
      </c>
      <c r="C60" s="19" t="n">
        <f aca="false">MIN(Customer_Data!G60/Tier_Criteria!$C$6*100,100)</f>
        <v>24.7993333333333</v>
      </c>
      <c r="D60" s="19" t="n">
        <f aca="false">MIN(Customer_Data!H60/Tier_Criteria!$C$7*100,100)</f>
        <v>33.3333333333333</v>
      </c>
      <c r="E60" s="19" t="n">
        <f aca="false">MIN(Customer_Data!J60/Tier_Criteria!$C$8*100,100)</f>
        <v>45</v>
      </c>
      <c r="F60" s="19" t="n">
        <f aca="false">MIN(Customer_Data!K60/Tier_Criteria!$C$9*100,100)</f>
        <v>36.6346666666667</v>
      </c>
      <c r="G60" s="19" t="n">
        <f aca="false">B60*Tier_Criteria!$B$5+C60*Tier_Criteria!$B$6+D60*Tier_Criteria!$B$7+E60*Tier_Criteria!$B$8+F60*Tier_Criteria!$B$9</f>
        <v>45.5941283333333</v>
      </c>
      <c r="H60" s="13" t="str">
        <f aca="false">INDEX(Tier_Criteria!$A$15:$A$18,MATCH(G60,Tier_Criteria!$B$15:$B$18,1))</f>
        <v>Mass Affluent</v>
      </c>
      <c r="I60" s="18" t="str">
        <f aca="false">Customer_Data!I60</f>
        <v>N</v>
      </c>
      <c r="J60" s="13" t="str">
        <f aca="false">IF(AND(OR(H60="HNI",H60="UHNI"),I60="N"),"High Priority - No Investment Product",IF(AND(H60="Mass Affluent",I60="N"),"Medium Priority - Entry Wealth Product","Standard / Retain"))</f>
        <v>Medium Priority - Entry Wealth Product</v>
      </c>
    </row>
    <row r="61" customFormat="false" ht="15" hidden="false" customHeight="false" outlineLevel="0" collapsed="false">
      <c r="A61" s="18" t="str">
        <f aca="false">Customer_Data!A61</f>
        <v>CUST-1058</v>
      </c>
      <c r="B61" s="19" t="n">
        <f aca="false">MIN(Customer_Data!F61/Tier_Criteria!$C$5*100,100)</f>
        <v>12.0449</v>
      </c>
      <c r="C61" s="19" t="n">
        <f aca="false">MIN(Customer_Data!G61/Tier_Criteria!$C$6*100,100)</f>
        <v>0</v>
      </c>
      <c r="D61" s="19" t="n">
        <f aca="false">MIN(Customer_Data!H61/Tier_Criteria!$C$7*100,100)</f>
        <v>16.6666666666667</v>
      </c>
      <c r="E61" s="19" t="n">
        <f aca="false">MIN(Customer_Data!J61/Tier_Criteria!$C$8*100,100)</f>
        <v>29</v>
      </c>
      <c r="F61" s="19" t="n">
        <f aca="false">MIN(Customer_Data!K61/Tier_Criteria!$C$9*100,100)</f>
        <v>10.0913333333333</v>
      </c>
      <c r="G61" s="19" t="n">
        <f aca="false">B61*Tier_Criteria!$B$5+C61*Tier_Criteria!$B$6+D61*Tier_Criteria!$B$7+E61*Tier_Criteria!$B$8+F61*Tier_Criteria!$B$9</f>
        <v>11.129415</v>
      </c>
      <c r="H61" s="13" t="str">
        <f aca="false">INDEX(Tier_Criteria!$A$15:$A$18,MATCH(G61,Tier_Criteria!$B$15:$B$18,1))</f>
        <v>Mass</v>
      </c>
      <c r="I61" s="18" t="str">
        <f aca="false">Customer_Data!I61</f>
        <v>N</v>
      </c>
      <c r="J61" s="13" t="str">
        <f aca="false">IF(AND(OR(H61="HNI",H61="UHNI"),I61="N"),"High Priority - No Investment Product",IF(AND(H61="Mass Affluent",I61="N"),"Medium Priority - Entry Wealth Product","Standard / Retain"))</f>
        <v>Standard / Retain</v>
      </c>
    </row>
    <row r="62" customFormat="false" ht="15" hidden="false" customHeight="false" outlineLevel="0" collapsed="false">
      <c r="A62" s="18" t="str">
        <f aca="false">Customer_Data!A62</f>
        <v>CUST-1059</v>
      </c>
      <c r="B62" s="19" t="n">
        <f aca="false">MIN(Customer_Data!F62/Tier_Criteria!$C$5*100,100)</f>
        <v>52.1302</v>
      </c>
      <c r="C62" s="19" t="n">
        <f aca="false">MIN(Customer_Data!G62/Tier_Criteria!$C$6*100,100)</f>
        <v>28.5303611111111</v>
      </c>
      <c r="D62" s="19" t="n">
        <f aca="false">MIN(Customer_Data!H62/Tier_Criteria!$C$7*100,100)</f>
        <v>33.3333333333333</v>
      </c>
      <c r="E62" s="19" t="n">
        <f aca="false">MIN(Customer_Data!J62/Tier_Criteria!$C$8*100,100)</f>
        <v>23</v>
      </c>
      <c r="F62" s="19" t="n">
        <f aca="false">MIN(Customer_Data!K62/Tier_Criteria!$C$9*100,100)</f>
        <v>29.8</v>
      </c>
      <c r="G62" s="19" t="n">
        <f aca="false">B62*Tier_Criteria!$B$5+C62*Tier_Criteria!$B$6+D62*Tier_Criteria!$B$7+E62*Tier_Criteria!$B$8+F62*Tier_Criteria!$B$9</f>
        <v>37.1481602777778</v>
      </c>
      <c r="H62" s="13" t="str">
        <f aca="false">INDEX(Tier_Criteria!$A$15:$A$18,MATCH(G62,Tier_Criteria!$B$15:$B$18,1))</f>
        <v>Mass</v>
      </c>
      <c r="I62" s="18" t="str">
        <f aca="false">Customer_Data!I62</f>
        <v>N</v>
      </c>
      <c r="J62" s="13" t="str">
        <f aca="false">IF(AND(OR(H62="HNI",H62="UHNI"),I62="N"),"High Priority - No Investment Product",IF(AND(H62="Mass Affluent",I62="N"),"Medium Priority - Entry Wealth Product","Standard / Retain"))</f>
        <v>Standard / Retain</v>
      </c>
    </row>
    <row r="63" customFormat="false" ht="15" hidden="false" customHeight="false" outlineLevel="0" collapsed="false">
      <c r="A63" s="18" t="str">
        <f aca="false">Customer_Data!A63</f>
        <v>CUST-1060</v>
      </c>
      <c r="B63" s="19" t="n">
        <f aca="false">MIN(Customer_Data!F63/Tier_Criteria!$C$5*100,100)</f>
        <v>89.5866</v>
      </c>
      <c r="C63" s="19" t="n">
        <f aca="false">MIN(Customer_Data!G63/Tier_Criteria!$C$6*100,100)</f>
        <v>25.4750555555556</v>
      </c>
      <c r="D63" s="19" t="n">
        <f aca="false">MIN(Customer_Data!H63/Tier_Criteria!$C$7*100,100)</f>
        <v>33.3333333333333</v>
      </c>
      <c r="E63" s="19" t="n">
        <f aca="false">MIN(Customer_Data!J63/Tier_Criteria!$C$8*100,100)</f>
        <v>33</v>
      </c>
      <c r="F63" s="19" t="n">
        <f aca="false">MIN(Customer_Data!K63/Tier_Criteria!$C$9*100,100)</f>
        <v>42.3113333333333</v>
      </c>
      <c r="G63" s="19" t="n">
        <f aca="false">B63*Tier_Criteria!$B$5+C63*Tier_Criteria!$B$6+D63*Tier_Criteria!$B$7+E63*Tier_Criteria!$B$8+F63*Tier_Criteria!$B$9</f>
        <v>52.3707738888889</v>
      </c>
      <c r="H63" s="13" t="str">
        <f aca="false">INDEX(Tier_Criteria!$A$15:$A$18,MATCH(G63,Tier_Criteria!$B$15:$B$18,1))</f>
        <v>Mass Affluent</v>
      </c>
      <c r="I63" s="18" t="str">
        <f aca="false">Customer_Data!I63</f>
        <v>N</v>
      </c>
      <c r="J63" s="13" t="str">
        <f aca="false">IF(AND(OR(H63="HNI",H63="UHNI"),I63="N"),"High Priority - No Investment Product",IF(AND(H63="Mass Affluent",I63="N"),"Medium Priority - Entry Wealth Product","Standard / Retain"))</f>
        <v>Medium Priority - Entry Wealth Product</v>
      </c>
    </row>
    <row r="64" customFormat="false" ht="15" hidden="false" customHeight="false" outlineLevel="0" collapsed="false">
      <c r="A64" s="18" t="str">
        <f aca="false">Customer_Data!A64</f>
        <v>CUST-1061</v>
      </c>
      <c r="B64" s="19" t="n">
        <f aca="false">MIN(Customer_Data!F64/Tier_Criteria!$C$5*100,100)</f>
        <v>79.9422</v>
      </c>
      <c r="C64" s="19" t="n">
        <f aca="false">MIN(Customer_Data!G64/Tier_Criteria!$C$6*100,100)</f>
        <v>43.7519722222222</v>
      </c>
      <c r="D64" s="19" t="n">
        <f aca="false">MIN(Customer_Data!H64/Tier_Criteria!$C$7*100,100)</f>
        <v>33.3333333333333</v>
      </c>
      <c r="E64" s="19" t="n">
        <f aca="false">MIN(Customer_Data!J64/Tier_Criteria!$C$8*100,100)</f>
        <v>41</v>
      </c>
      <c r="F64" s="19" t="n">
        <f aca="false">MIN(Customer_Data!K64/Tier_Criteria!$C$9*100,100)</f>
        <v>33.788</v>
      </c>
      <c r="G64" s="19" t="n">
        <f aca="false">B64*Tier_Criteria!$B$5+C64*Tier_Criteria!$B$6+D64*Tier_Criteria!$B$7+E64*Tier_Criteria!$B$8+F64*Tier_Criteria!$B$9</f>
        <v>53.0859630555556</v>
      </c>
      <c r="H64" s="13" t="str">
        <f aca="false">INDEX(Tier_Criteria!$A$15:$A$18,MATCH(G64,Tier_Criteria!$B$15:$B$18,1))</f>
        <v>Mass Affluent</v>
      </c>
      <c r="I64" s="18" t="str">
        <f aca="false">Customer_Data!I64</f>
        <v>N</v>
      </c>
      <c r="J64" s="13" t="str">
        <f aca="false">IF(AND(OR(H64="HNI",H64="UHNI"),I64="N"),"High Priority - No Investment Product",IF(AND(H64="Mass Affluent",I64="N"),"Medium Priority - Entry Wealth Product","Standard / Retain"))</f>
        <v>Medium Priority - Entry Wealth Product</v>
      </c>
    </row>
    <row r="65" customFormat="false" ht="15" hidden="false" customHeight="false" outlineLevel="0" collapsed="false">
      <c r="A65" s="18" t="str">
        <f aca="false">Customer_Data!A65</f>
        <v>CUST-1062</v>
      </c>
      <c r="B65" s="19" t="n">
        <f aca="false">MIN(Customer_Data!F65/Tier_Criteria!$C$5*100,100)</f>
        <v>71.1334</v>
      </c>
      <c r="C65" s="19" t="n">
        <f aca="false">MIN(Customer_Data!G65/Tier_Criteria!$C$6*100,100)</f>
        <v>15.8699166666667</v>
      </c>
      <c r="D65" s="19" t="n">
        <f aca="false">MIN(Customer_Data!H65/Tier_Criteria!$C$7*100,100)</f>
        <v>33.3333333333333</v>
      </c>
      <c r="E65" s="19" t="n">
        <f aca="false">MIN(Customer_Data!J65/Tier_Criteria!$C$8*100,100)</f>
        <v>25</v>
      </c>
      <c r="F65" s="19" t="n">
        <f aca="false">MIN(Customer_Data!K65/Tier_Criteria!$C$9*100,100)</f>
        <v>14.71</v>
      </c>
      <c r="G65" s="19" t="n">
        <f aca="false">B65*Tier_Criteria!$B$5+C65*Tier_Criteria!$B$6+D65*Tier_Criteria!$B$7+E65*Tier_Criteria!$B$8+F65*Tier_Criteria!$B$9</f>
        <v>38.5706691666667</v>
      </c>
      <c r="H65" s="13" t="str">
        <f aca="false">INDEX(Tier_Criteria!$A$15:$A$18,MATCH(G65,Tier_Criteria!$B$15:$B$18,1))</f>
        <v>Mass</v>
      </c>
      <c r="I65" s="18" t="str">
        <f aca="false">Customer_Data!I65</f>
        <v>N</v>
      </c>
      <c r="J65" s="13" t="str">
        <f aca="false">IF(AND(OR(H65="HNI",H65="UHNI"),I65="N"),"High Priority - No Investment Product",IF(AND(H65="Mass Affluent",I65="N"),"Medium Priority - Entry Wealth Product","Standard / Retain"))</f>
        <v>Standard / Retain</v>
      </c>
    </row>
    <row r="66" customFormat="false" ht="15" hidden="false" customHeight="false" outlineLevel="0" collapsed="false">
      <c r="A66" s="18" t="str">
        <f aca="false">Customer_Data!A66</f>
        <v>CUST-1063</v>
      </c>
      <c r="B66" s="19" t="n">
        <f aca="false">MIN(Customer_Data!F66/Tier_Criteria!$C$5*100,100)</f>
        <v>62.976</v>
      </c>
      <c r="C66" s="19" t="n">
        <f aca="false">MIN(Customer_Data!G66/Tier_Criteria!$C$6*100,100)</f>
        <v>0</v>
      </c>
      <c r="D66" s="19" t="n">
        <f aca="false">MIN(Customer_Data!H66/Tier_Criteria!$C$7*100,100)</f>
        <v>33.3333333333333</v>
      </c>
      <c r="E66" s="19" t="n">
        <f aca="false">MIN(Customer_Data!J66/Tier_Criteria!$C$8*100,100)</f>
        <v>55</v>
      </c>
      <c r="F66" s="19" t="n">
        <f aca="false">MIN(Customer_Data!K66/Tier_Criteria!$C$9*100,100)</f>
        <v>32.8033333333333</v>
      </c>
      <c r="G66" s="19" t="n">
        <f aca="false">B66*Tier_Criteria!$B$5+C66*Tier_Criteria!$B$6+D66*Tier_Criteria!$B$7+E66*Tier_Criteria!$B$8+F66*Tier_Criteria!$B$9</f>
        <v>37.4621</v>
      </c>
      <c r="H66" s="13" t="str">
        <f aca="false">INDEX(Tier_Criteria!$A$15:$A$18,MATCH(G66,Tier_Criteria!$B$15:$B$18,1))</f>
        <v>Mass</v>
      </c>
      <c r="I66" s="18" t="str">
        <f aca="false">Customer_Data!I66</f>
        <v>N</v>
      </c>
      <c r="J66" s="13" t="str">
        <f aca="false">IF(AND(OR(H66="HNI",H66="UHNI"),I66="N"),"High Priority - No Investment Product",IF(AND(H66="Mass Affluent",I66="N"),"Medium Priority - Entry Wealth Product","Standard / Retain"))</f>
        <v>Standard / Retain</v>
      </c>
    </row>
    <row r="67" customFormat="false" ht="15" hidden="false" customHeight="false" outlineLevel="0" collapsed="false">
      <c r="A67" s="18" t="str">
        <f aca="false">Customer_Data!A67</f>
        <v>CUST-1064</v>
      </c>
      <c r="B67" s="19" t="n">
        <f aca="false">MIN(Customer_Data!F67/Tier_Criteria!$C$5*100,100)</f>
        <v>100</v>
      </c>
      <c r="C67" s="19" t="n">
        <f aca="false">MIN(Customer_Data!G67/Tier_Criteria!$C$6*100,100)</f>
        <v>95.4984166666667</v>
      </c>
      <c r="D67" s="19" t="n">
        <f aca="false">MIN(Customer_Data!H67/Tier_Criteria!$C$7*100,100)</f>
        <v>83.3333333333333</v>
      </c>
      <c r="E67" s="19" t="n">
        <f aca="false">MIN(Customer_Data!J67/Tier_Criteria!$C$8*100,100)</f>
        <v>52</v>
      </c>
      <c r="F67" s="19" t="n">
        <f aca="false">MIN(Customer_Data!K67/Tier_Criteria!$C$9*100,100)</f>
        <v>83.186</v>
      </c>
      <c r="G67" s="19" t="n">
        <f aca="false">B67*Tier_Criteria!$B$5+C67*Tier_Criteria!$B$6+D67*Tier_Criteria!$B$7+E67*Tier_Criteria!$B$8+F67*Tier_Criteria!$B$9</f>
        <v>89.0525041666667</v>
      </c>
      <c r="H67" s="13" t="str">
        <f aca="false">INDEX(Tier_Criteria!$A$15:$A$18,MATCH(G67,Tier_Criteria!$B$15:$B$18,1))</f>
        <v>UHNI</v>
      </c>
      <c r="I67" s="18" t="str">
        <f aca="false">Customer_Data!I67</f>
        <v>Y</v>
      </c>
      <c r="J67" s="13" t="str">
        <f aca="false">IF(AND(OR(H67="HNI",H67="UHNI"),I67="N"),"High Priority - No Investment Product",IF(AND(H67="Mass Affluent",I67="N"),"Medium Priority - Entry Wealth Product","Standard / Retain"))</f>
        <v>Standard / Retain</v>
      </c>
    </row>
    <row r="68" customFormat="false" ht="15" hidden="false" customHeight="false" outlineLevel="0" collapsed="false">
      <c r="A68" s="18" t="str">
        <f aca="false">Customer_Data!A68</f>
        <v>CUST-1065</v>
      </c>
      <c r="B68" s="19" t="n">
        <f aca="false">MIN(Customer_Data!F68/Tier_Criteria!$C$5*100,100)</f>
        <v>19.19845</v>
      </c>
      <c r="C68" s="19" t="n">
        <f aca="false">MIN(Customer_Data!G68/Tier_Criteria!$C$6*100,100)</f>
        <v>10.3485833333333</v>
      </c>
      <c r="D68" s="19" t="n">
        <f aca="false">MIN(Customer_Data!H68/Tier_Criteria!$C$7*100,100)</f>
        <v>16.6666666666667</v>
      </c>
      <c r="E68" s="19" t="n">
        <f aca="false">MIN(Customer_Data!J68/Tier_Criteria!$C$8*100,100)</f>
        <v>28</v>
      </c>
      <c r="F68" s="19" t="n">
        <f aca="false">MIN(Customer_Data!K68/Tier_Criteria!$C$9*100,100)</f>
        <v>5.96866666666667</v>
      </c>
      <c r="G68" s="19" t="n">
        <f aca="false">B68*Tier_Criteria!$B$5+C68*Tier_Criteria!$B$6+D68*Tier_Criteria!$B$7+E68*Tier_Criteria!$B$8+F68*Tier_Criteria!$B$9</f>
        <v>15.5019033333333</v>
      </c>
      <c r="H68" s="13" t="str">
        <f aca="false">INDEX(Tier_Criteria!$A$15:$A$18,MATCH(G68,Tier_Criteria!$B$15:$B$18,1))</f>
        <v>Mass</v>
      </c>
      <c r="I68" s="18" t="str">
        <f aca="false">Customer_Data!I68</f>
        <v>N</v>
      </c>
      <c r="J68" s="13" t="str">
        <f aca="false">IF(AND(OR(H68="HNI",H68="UHNI"),I68="N"),"High Priority - No Investment Product",IF(AND(H68="Mass Affluent",I68="N"),"Medium Priority - Entry Wealth Product","Standard / Retain"))</f>
        <v>Standard / Retain</v>
      </c>
    </row>
    <row r="69" customFormat="false" ht="15" hidden="false" customHeight="false" outlineLevel="0" collapsed="false">
      <c r="A69" s="18" t="str">
        <f aca="false">Customer_Data!A69</f>
        <v>CUST-1066</v>
      </c>
      <c r="B69" s="19" t="n">
        <f aca="false">MIN(Customer_Data!F69/Tier_Criteria!$C$5*100,100)</f>
        <v>100</v>
      </c>
      <c r="C69" s="19" t="n">
        <f aca="false">MIN(Customer_Data!G69/Tier_Criteria!$C$6*100,100)</f>
        <v>43.1797222222222</v>
      </c>
      <c r="D69" s="19" t="n">
        <f aca="false">MIN(Customer_Data!H69/Tier_Criteria!$C$7*100,100)</f>
        <v>50</v>
      </c>
      <c r="E69" s="19" t="n">
        <f aca="false">MIN(Customer_Data!J69/Tier_Criteria!$C$8*100,100)</f>
        <v>49</v>
      </c>
      <c r="F69" s="19" t="n">
        <f aca="false">MIN(Customer_Data!K69/Tier_Criteria!$C$9*100,100)</f>
        <v>35.266</v>
      </c>
      <c r="G69" s="19" t="n">
        <f aca="false">B69*Tier_Criteria!$B$5+C69*Tier_Criteria!$B$6+D69*Tier_Criteria!$B$7+E69*Tier_Criteria!$B$8+F69*Tier_Criteria!$B$9</f>
        <v>63.4848305555556</v>
      </c>
      <c r="H69" s="13" t="str">
        <f aca="false">INDEX(Tier_Criteria!$A$15:$A$18,MATCH(G69,Tier_Criteria!$B$15:$B$18,1))</f>
        <v>Mass Affluent</v>
      </c>
      <c r="I69" s="18" t="str">
        <f aca="false">Customer_Data!I69</f>
        <v>Y</v>
      </c>
      <c r="J69" s="13" t="str">
        <f aca="false">IF(AND(OR(H69="HNI",H69="UHNI"),I69="N"),"High Priority - No Investment Product",IF(AND(H69="Mass Affluent",I69="N"),"Medium Priority - Entry Wealth Product","Standard / Retain"))</f>
        <v>Standard / Retain</v>
      </c>
    </row>
    <row r="70" customFormat="false" ht="15" hidden="false" customHeight="false" outlineLevel="0" collapsed="false">
      <c r="A70" s="18" t="str">
        <f aca="false">Customer_Data!A70</f>
        <v>CUST-1067</v>
      </c>
      <c r="B70" s="19" t="n">
        <f aca="false">MIN(Customer_Data!F70/Tier_Criteria!$C$5*100,100)</f>
        <v>2.79755</v>
      </c>
      <c r="C70" s="19" t="n">
        <f aca="false">MIN(Customer_Data!G70/Tier_Criteria!$C$6*100,100)</f>
        <v>8.33333333333333</v>
      </c>
      <c r="D70" s="19" t="n">
        <f aca="false">MIN(Customer_Data!H70/Tier_Criteria!$C$7*100,100)</f>
        <v>16.6666666666667</v>
      </c>
      <c r="E70" s="19" t="n">
        <f aca="false">MIN(Customer_Data!J70/Tier_Criteria!$C$8*100,100)</f>
        <v>18</v>
      </c>
      <c r="F70" s="19" t="n">
        <f aca="false">MIN(Customer_Data!K70/Tier_Criteria!$C$9*100,100)</f>
        <v>1.90333333333333</v>
      </c>
      <c r="G70" s="19" t="n">
        <f aca="false">B70*Tier_Criteria!$B$5+C70*Tier_Criteria!$B$6+D70*Tier_Criteria!$B$7+E70*Tier_Criteria!$B$8+F70*Tier_Criteria!$B$9</f>
        <v>7.64797583333333</v>
      </c>
      <c r="H70" s="13" t="str">
        <f aca="false">INDEX(Tier_Criteria!$A$15:$A$18,MATCH(G70,Tier_Criteria!$B$15:$B$18,1))</f>
        <v>Mass</v>
      </c>
      <c r="I70" s="18" t="str">
        <f aca="false">Customer_Data!I70</f>
        <v>N</v>
      </c>
      <c r="J70" s="13" t="str">
        <f aca="false">IF(AND(OR(H70="HNI",H70="UHNI"),I70="N"),"High Priority - No Investment Product",IF(AND(H70="Mass Affluent",I70="N"),"Medium Priority - Entry Wealth Product","Standard / Retain"))</f>
        <v>Standard / Retain</v>
      </c>
    </row>
    <row r="71" customFormat="false" ht="15" hidden="false" customHeight="false" outlineLevel="0" collapsed="false">
      <c r="A71" s="18" t="str">
        <f aca="false">Customer_Data!A71</f>
        <v>CUST-1068</v>
      </c>
      <c r="B71" s="19" t="n">
        <f aca="false">MIN(Customer_Data!F71/Tier_Criteria!$C$5*100,100)</f>
        <v>49.12615</v>
      </c>
      <c r="C71" s="19" t="n">
        <f aca="false">MIN(Customer_Data!G71/Tier_Criteria!$C$6*100,100)</f>
        <v>22.7069444444444</v>
      </c>
      <c r="D71" s="19" t="n">
        <f aca="false">MIN(Customer_Data!H71/Tier_Criteria!$C$7*100,100)</f>
        <v>33.3333333333333</v>
      </c>
      <c r="E71" s="19" t="n">
        <f aca="false">MIN(Customer_Data!J71/Tier_Criteria!$C$8*100,100)</f>
        <v>22</v>
      </c>
      <c r="F71" s="19" t="n">
        <f aca="false">MIN(Customer_Data!K71/Tier_Criteria!$C$9*100,100)</f>
        <v>29.1226666666667</v>
      </c>
      <c r="G71" s="19" t="n">
        <f aca="false">B71*Tier_Criteria!$B$5+C71*Tier_Criteria!$B$6+D71*Tier_Criteria!$B$7+E71*Tier_Criteria!$B$8+F71*Tier_Criteria!$B$9</f>
        <v>34.4392886111111</v>
      </c>
      <c r="H71" s="13" t="str">
        <f aca="false">INDEX(Tier_Criteria!$A$15:$A$18,MATCH(G71,Tier_Criteria!$B$15:$B$18,1))</f>
        <v>Mass</v>
      </c>
      <c r="I71" s="18" t="str">
        <f aca="false">Customer_Data!I71</f>
        <v>N</v>
      </c>
      <c r="J71" s="13" t="str">
        <f aca="false">IF(AND(OR(H71="HNI",H71="UHNI"),I71="N"),"High Priority - No Investment Product",IF(AND(H71="Mass Affluent",I71="N"),"Medium Priority - Entry Wealth Product","Standard / Retain"))</f>
        <v>Standard / Retain</v>
      </c>
    </row>
    <row r="72" customFormat="false" ht="15" hidden="false" customHeight="false" outlineLevel="0" collapsed="false">
      <c r="A72" s="18" t="str">
        <f aca="false">Customer_Data!A72</f>
        <v>CUST-1069</v>
      </c>
      <c r="B72" s="19" t="n">
        <f aca="false">MIN(Customer_Data!F72/Tier_Criteria!$C$5*100,100)</f>
        <v>100</v>
      </c>
      <c r="C72" s="19" t="n">
        <f aca="false">MIN(Customer_Data!G72/Tier_Criteria!$C$6*100,100)</f>
        <v>77.017</v>
      </c>
      <c r="D72" s="19" t="n">
        <f aca="false">MIN(Customer_Data!H72/Tier_Criteria!$C$7*100,100)</f>
        <v>50</v>
      </c>
      <c r="E72" s="19" t="n">
        <f aca="false">MIN(Customer_Data!J72/Tier_Criteria!$C$8*100,100)</f>
        <v>47</v>
      </c>
      <c r="F72" s="19" t="n">
        <f aca="false">MIN(Customer_Data!K72/Tier_Criteria!$C$9*100,100)</f>
        <v>43.0253333333333</v>
      </c>
      <c r="G72" s="19" t="n">
        <f aca="false">B72*Tier_Criteria!$B$5+C72*Tier_Criteria!$B$6+D72*Tier_Criteria!$B$7+E72*Tier_Criteria!$B$8+F72*Tier_Criteria!$B$9</f>
        <v>72.90805</v>
      </c>
      <c r="H72" s="13" t="str">
        <f aca="false">INDEX(Tier_Criteria!$A$15:$A$18,MATCH(G72,Tier_Criteria!$B$15:$B$18,1))</f>
        <v>HNI</v>
      </c>
      <c r="I72" s="18" t="str">
        <f aca="false">Customer_Data!I72</f>
        <v>N</v>
      </c>
      <c r="J72" s="13" t="str">
        <f aca="false">IF(AND(OR(H72="HNI",H72="UHNI"),I72="N"),"High Priority - No Investment Product",IF(AND(H72="Mass Affluent",I72="N"),"Medium Priority - Entry Wealth Product","Standard / Retain"))</f>
        <v>High Priority - No Investment Product</v>
      </c>
    </row>
    <row r="73" customFormat="false" ht="15" hidden="false" customHeight="false" outlineLevel="0" collapsed="false">
      <c r="A73" s="18" t="str">
        <f aca="false">Customer_Data!A73</f>
        <v>CUST-1070</v>
      </c>
      <c r="B73" s="19" t="n">
        <f aca="false">MIN(Customer_Data!F73/Tier_Criteria!$C$5*100,100)</f>
        <v>100</v>
      </c>
      <c r="C73" s="19" t="n">
        <f aca="false">MIN(Customer_Data!G73/Tier_Criteria!$C$6*100,100)</f>
        <v>33.22775</v>
      </c>
      <c r="D73" s="19" t="n">
        <f aca="false">MIN(Customer_Data!H73/Tier_Criteria!$C$7*100,100)</f>
        <v>33.3333333333333</v>
      </c>
      <c r="E73" s="19" t="n">
        <f aca="false">MIN(Customer_Data!J73/Tier_Criteria!$C$8*100,100)</f>
        <v>39</v>
      </c>
      <c r="F73" s="19" t="n">
        <f aca="false">MIN(Customer_Data!K73/Tier_Criteria!$C$9*100,100)</f>
        <v>33.7726666666667</v>
      </c>
      <c r="G73" s="19" t="n">
        <f aca="false">B73*Tier_Criteria!$B$5+C73*Tier_Criteria!$B$6+D73*Tier_Criteria!$B$7+E73*Tier_Criteria!$B$8+F73*Tier_Criteria!$B$9</f>
        <v>57.2728375</v>
      </c>
      <c r="H73" s="13" t="str">
        <f aca="false">INDEX(Tier_Criteria!$A$15:$A$18,MATCH(G73,Tier_Criteria!$B$15:$B$18,1))</f>
        <v>Mass Affluent</v>
      </c>
      <c r="I73" s="18" t="str">
        <f aca="false">Customer_Data!I73</f>
        <v>N</v>
      </c>
      <c r="J73" s="13" t="str">
        <f aca="false">IF(AND(OR(H73="HNI",H73="UHNI"),I73="N"),"High Priority - No Investment Product",IF(AND(H73="Mass Affluent",I73="N"),"Medium Priority - Entry Wealth Product","Standard / Retain"))</f>
        <v>Medium Priority - Entry Wealth Product</v>
      </c>
    </row>
    <row r="74" customFormat="false" ht="15" hidden="false" customHeight="false" outlineLevel="0" collapsed="false">
      <c r="A74" s="18" t="str">
        <f aca="false">Customer_Data!A74</f>
        <v>CUST-1071</v>
      </c>
      <c r="B74" s="19" t="n">
        <f aca="false">MIN(Customer_Data!F74/Tier_Criteria!$C$5*100,100)</f>
        <v>38.55345</v>
      </c>
      <c r="C74" s="19" t="n">
        <f aca="false">MIN(Customer_Data!G74/Tier_Criteria!$C$6*100,100)</f>
        <v>10.5193333333333</v>
      </c>
      <c r="D74" s="19" t="n">
        <f aca="false">MIN(Customer_Data!H74/Tier_Criteria!$C$7*100,100)</f>
        <v>33.3333333333333</v>
      </c>
      <c r="E74" s="19" t="n">
        <f aca="false">MIN(Customer_Data!J74/Tier_Criteria!$C$8*100,100)</f>
        <v>32</v>
      </c>
      <c r="F74" s="19" t="n">
        <f aca="false">MIN(Customer_Data!K74/Tier_Criteria!$C$9*100,100)</f>
        <v>11.9993333333333</v>
      </c>
      <c r="G74" s="19" t="n">
        <f aca="false">B74*Tier_Criteria!$B$5+C74*Tier_Criteria!$B$6+D74*Tier_Criteria!$B$7+E74*Tier_Criteria!$B$8+F74*Tier_Criteria!$B$9</f>
        <v>26.1234408333333</v>
      </c>
      <c r="H74" s="13" t="str">
        <f aca="false">INDEX(Tier_Criteria!$A$15:$A$18,MATCH(G74,Tier_Criteria!$B$15:$B$18,1))</f>
        <v>Mass</v>
      </c>
      <c r="I74" s="18" t="str">
        <f aca="false">Customer_Data!I74</f>
        <v>N</v>
      </c>
      <c r="J74" s="13" t="str">
        <f aca="false">IF(AND(OR(H74="HNI",H74="UHNI"),I74="N"),"High Priority - No Investment Product",IF(AND(H74="Mass Affluent",I74="N"),"Medium Priority - Entry Wealth Product","Standard / Retain"))</f>
        <v>Standard / Retain</v>
      </c>
    </row>
    <row r="75" customFormat="false" ht="15" hidden="false" customHeight="false" outlineLevel="0" collapsed="false">
      <c r="A75" s="18" t="str">
        <f aca="false">Customer_Data!A75</f>
        <v>CUST-1072</v>
      </c>
      <c r="B75" s="19" t="n">
        <f aca="false">MIN(Customer_Data!F75/Tier_Criteria!$C$5*100,100)</f>
        <v>83.65075</v>
      </c>
      <c r="C75" s="19" t="n">
        <f aca="false">MIN(Customer_Data!G75/Tier_Criteria!$C$6*100,100)</f>
        <v>64.7750833333333</v>
      </c>
      <c r="D75" s="19" t="n">
        <f aca="false">MIN(Customer_Data!H75/Tier_Criteria!$C$7*100,100)</f>
        <v>50</v>
      </c>
      <c r="E75" s="19" t="n">
        <f aca="false">MIN(Customer_Data!J75/Tier_Criteria!$C$8*100,100)</f>
        <v>61</v>
      </c>
      <c r="F75" s="19" t="n">
        <f aca="false">MIN(Customer_Data!K75/Tier_Criteria!$C$9*100,100)</f>
        <v>64.7526666666667</v>
      </c>
      <c r="G75" s="19" t="n">
        <f aca="false">B75*Tier_Criteria!$B$5+C75*Tier_Criteria!$B$6+D75*Tier_Criteria!$B$7+E75*Tier_Criteria!$B$8+F75*Tier_Criteria!$B$9</f>
        <v>68.7844333333333</v>
      </c>
      <c r="H75" s="13" t="str">
        <f aca="false">INDEX(Tier_Criteria!$A$15:$A$18,MATCH(G75,Tier_Criteria!$B$15:$B$18,1))</f>
        <v>HNI</v>
      </c>
      <c r="I75" s="18" t="str">
        <f aca="false">Customer_Data!I75</f>
        <v>Y</v>
      </c>
      <c r="J75" s="13" t="str">
        <f aca="false">IF(AND(OR(H75="HNI",H75="UHNI"),I75="N"),"High Priority - No Investment Product",IF(AND(H75="Mass Affluent",I75="N"),"Medium Priority - Entry Wealth Product","Standard / Retain"))</f>
        <v>Standard / Retain</v>
      </c>
    </row>
    <row r="76" customFormat="false" ht="15" hidden="false" customHeight="false" outlineLevel="0" collapsed="false">
      <c r="A76" s="18" t="str">
        <f aca="false">Customer_Data!A76</f>
        <v>CUST-1073</v>
      </c>
      <c r="B76" s="19" t="n">
        <f aca="false">MIN(Customer_Data!F76/Tier_Criteria!$C$5*100,100)</f>
        <v>81.09365</v>
      </c>
      <c r="C76" s="19" t="n">
        <f aca="false">MIN(Customer_Data!G76/Tier_Criteria!$C$6*100,100)</f>
        <v>0</v>
      </c>
      <c r="D76" s="19" t="n">
        <f aca="false">MIN(Customer_Data!H76/Tier_Criteria!$C$7*100,100)</f>
        <v>33.3333333333333</v>
      </c>
      <c r="E76" s="19" t="n">
        <f aca="false">MIN(Customer_Data!J76/Tier_Criteria!$C$8*100,100)</f>
        <v>42</v>
      </c>
      <c r="F76" s="19" t="n">
        <f aca="false">MIN(Customer_Data!K76/Tier_Criteria!$C$9*100,100)</f>
        <v>36.464</v>
      </c>
      <c r="G76" s="19" t="n">
        <f aca="false">B76*Tier_Criteria!$B$5+C76*Tier_Criteria!$B$6+D76*Tier_Criteria!$B$7+E76*Tier_Criteria!$B$8+F76*Tier_Criteria!$B$9</f>
        <v>43.0523775</v>
      </c>
      <c r="H76" s="13" t="str">
        <f aca="false">INDEX(Tier_Criteria!$A$15:$A$18,MATCH(G76,Tier_Criteria!$B$15:$B$18,1))</f>
        <v>Mass Affluent</v>
      </c>
      <c r="I76" s="18" t="str">
        <f aca="false">Customer_Data!I76</f>
        <v>N</v>
      </c>
      <c r="J76" s="13" t="str">
        <f aca="false">IF(AND(OR(H76="HNI",H76="UHNI"),I76="N"),"High Priority - No Investment Product",IF(AND(H76="Mass Affluent",I76="N"),"Medium Priority - Entry Wealth Product","Standard / Retain"))</f>
        <v>Medium Priority - Entry Wealth Product</v>
      </c>
    </row>
    <row r="77" customFormat="false" ht="15" hidden="false" customHeight="false" outlineLevel="0" collapsed="false">
      <c r="A77" s="18" t="str">
        <f aca="false">Customer_Data!A77</f>
        <v>CUST-1074</v>
      </c>
      <c r="B77" s="19" t="n">
        <f aca="false">MIN(Customer_Data!F77/Tier_Criteria!$C$5*100,100)</f>
        <v>72.87745</v>
      </c>
      <c r="C77" s="19" t="n">
        <f aca="false">MIN(Customer_Data!G77/Tier_Criteria!$C$6*100,100)</f>
        <v>45.2003055555556</v>
      </c>
      <c r="D77" s="19" t="n">
        <f aca="false">MIN(Customer_Data!H77/Tier_Criteria!$C$7*100,100)</f>
        <v>50</v>
      </c>
      <c r="E77" s="19" t="n">
        <f aca="false">MIN(Customer_Data!J77/Tier_Criteria!$C$8*100,100)</f>
        <v>53</v>
      </c>
      <c r="F77" s="19" t="n">
        <f aca="false">MIN(Customer_Data!K77/Tier_Criteria!$C$9*100,100)</f>
        <v>63.198</v>
      </c>
      <c r="G77" s="19" t="n">
        <f aca="false">B77*Tier_Criteria!$B$5+C77*Tier_Criteria!$B$6+D77*Tier_Criteria!$B$7+E77*Tier_Criteria!$B$8+F77*Tier_Criteria!$B$9</f>
        <v>59.0868838888889</v>
      </c>
      <c r="H77" s="13" t="str">
        <f aca="false">INDEX(Tier_Criteria!$A$15:$A$18,MATCH(G77,Tier_Criteria!$B$15:$B$18,1))</f>
        <v>Mass Affluent</v>
      </c>
      <c r="I77" s="18" t="str">
        <f aca="false">Customer_Data!I77</f>
        <v>N</v>
      </c>
      <c r="J77" s="13" t="str">
        <f aca="false">IF(AND(OR(H77="HNI",H77="UHNI"),I77="N"),"High Priority - No Investment Product",IF(AND(H77="Mass Affluent",I77="N"),"Medium Priority - Entry Wealth Product","Standard / Retain"))</f>
        <v>Medium Priority - Entry Wealth Product</v>
      </c>
    </row>
    <row r="78" customFormat="false" ht="15" hidden="false" customHeight="false" outlineLevel="0" collapsed="false">
      <c r="A78" s="18" t="str">
        <f aca="false">Customer_Data!A78</f>
        <v>CUST-1075</v>
      </c>
      <c r="B78" s="19" t="n">
        <f aca="false">MIN(Customer_Data!F78/Tier_Criteria!$C$5*100,100)</f>
        <v>81.817</v>
      </c>
      <c r="C78" s="19" t="n">
        <f aca="false">MIN(Customer_Data!G78/Tier_Criteria!$C$6*100,100)</f>
        <v>53.2198055555556</v>
      </c>
      <c r="D78" s="19" t="n">
        <f aca="false">MIN(Customer_Data!H78/Tier_Criteria!$C$7*100,100)</f>
        <v>33.3333333333333</v>
      </c>
      <c r="E78" s="19" t="n">
        <f aca="false">MIN(Customer_Data!J78/Tier_Criteria!$C$8*100,100)</f>
        <v>43</v>
      </c>
      <c r="F78" s="19" t="n">
        <f aca="false">MIN(Customer_Data!K78/Tier_Criteria!$C$9*100,100)</f>
        <v>33.4486666666667</v>
      </c>
      <c r="G78" s="19" t="n">
        <f aca="false">B78*Tier_Criteria!$B$5+C78*Tier_Criteria!$B$6+D78*Tier_Criteria!$B$7+E78*Tier_Criteria!$B$8+F78*Tier_Criteria!$B$9</f>
        <v>56.2582013888889</v>
      </c>
      <c r="H78" s="13" t="str">
        <f aca="false">INDEX(Tier_Criteria!$A$15:$A$18,MATCH(G78,Tier_Criteria!$B$15:$B$18,1))</f>
        <v>Mass Affluent</v>
      </c>
      <c r="I78" s="18" t="str">
        <f aca="false">Customer_Data!I78</f>
        <v>N</v>
      </c>
      <c r="J78" s="13" t="str">
        <f aca="false">IF(AND(OR(H78="HNI",H78="UHNI"),I78="N"),"High Priority - No Investment Product",IF(AND(H78="Mass Affluent",I78="N"),"Medium Priority - Entry Wealth Product","Standard / Retain"))</f>
        <v>Medium Priority - Entry Wealth Product</v>
      </c>
    </row>
    <row r="79" customFormat="false" ht="15" hidden="false" customHeight="false" outlineLevel="0" collapsed="false">
      <c r="A79" s="18" t="str">
        <f aca="false">Customer_Data!A79</f>
        <v>CUST-1076</v>
      </c>
      <c r="B79" s="19" t="n">
        <f aca="false">MIN(Customer_Data!F79/Tier_Criteria!$C$5*100,100)</f>
        <v>100</v>
      </c>
      <c r="C79" s="19" t="n">
        <f aca="false">MIN(Customer_Data!G79/Tier_Criteria!$C$6*100,100)</f>
        <v>59.5156111111111</v>
      </c>
      <c r="D79" s="19" t="n">
        <f aca="false">MIN(Customer_Data!H79/Tier_Criteria!$C$7*100,100)</f>
        <v>50</v>
      </c>
      <c r="E79" s="19" t="n">
        <f aca="false">MIN(Customer_Data!J79/Tier_Criteria!$C$8*100,100)</f>
        <v>34</v>
      </c>
      <c r="F79" s="19" t="n">
        <f aca="false">MIN(Customer_Data!K79/Tier_Criteria!$C$9*100,100)</f>
        <v>62.6373333333333</v>
      </c>
      <c r="G79" s="19" t="n">
        <f aca="false">B79*Tier_Criteria!$B$5+C79*Tier_Criteria!$B$6+D79*Tier_Criteria!$B$7+E79*Tier_Criteria!$B$8+F79*Tier_Criteria!$B$9</f>
        <v>70.1745027777778</v>
      </c>
      <c r="H79" s="13" t="str">
        <f aca="false">INDEX(Tier_Criteria!$A$15:$A$18,MATCH(G79,Tier_Criteria!$B$15:$B$18,1))</f>
        <v>HNI</v>
      </c>
      <c r="I79" s="18" t="str">
        <f aca="false">Customer_Data!I79</f>
        <v>Y</v>
      </c>
      <c r="J79" s="13" t="str">
        <f aca="false">IF(AND(OR(H79="HNI",H79="UHNI"),I79="N"),"High Priority - No Investment Product",IF(AND(H79="Mass Affluent",I79="N"),"Medium Priority - Entry Wealth Product","Standard / Retain"))</f>
        <v>Standard / Retain</v>
      </c>
    </row>
    <row r="80" customFormat="false" ht="15" hidden="false" customHeight="false" outlineLevel="0" collapsed="false">
      <c r="A80" s="18" t="str">
        <f aca="false">Customer_Data!A80</f>
        <v>CUST-1077</v>
      </c>
      <c r="B80" s="19" t="n">
        <f aca="false">MIN(Customer_Data!F80/Tier_Criteria!$C$5*100,100)</f>
        <v>100</v>
      </c>
      <c r="C80" s="19" t="n">
        <f aca="false">MIN(Customer_Data!G80/Tier_Criteria!$C$6*100,100)</f>
        <v>80.4808055555556</v>
      </c>
      <c r="D80" s="19" t="n">
        <f aca="false">MIN(Customer_Data!H80/Tier_Criteria!$C$7*100,100)</f>
        <v>66.6666666666667</v>
      </c>
      <c r="E80" s="19" t="n">
        <f aca="false">MIN(Customer_Data!J80/Tier_Criteria!$C$8*100,100)</f>
        <v>50</v>
      </c>
      <c r="F80" s="19" t="n">
        <f aca="false">MIN(Customer_Data!K80/Tier_Criteria!$C$9*100,100)</f>
        <v>88.8366666666667</v>
      </c>
      <c r="G80" s="19" t="n">
        <f aca="false">B80*Tier_Criteria!$B$5+C80*Tier_Criteria!$B$6+D80*Tier_Criteria!$B$7+E80*Tier_Criteria!$B$8+F80*Tier_Criteria!$B$9</f>
        <v>83.4457013888889</v>
      </c>
      <c r="H80" s="13" t="str">
        <f aca="false">INDEX(Tier_Criteria!$A$15:$A$18,MATCH(G80,Tier_Criteria!$B$15:$B$18,1))</f>
        <v>HNI</v>
      </c>
      <c r="I80" s="18" t="str">
        <f aca="false">Customer_Data!I80</f>
        <v>Y</v>
      </c>
      <c r="J80" s="13" t="str">
        <f aca="false">IF(AND(OR(H80="HNI",H80="UHNI"),I80="N"),"High Priority - No Investment Product",IF(AND(H80="Mass Affluent",I80="N"),"Medium Priority - Entry Wealth Product","Standard / Retain"))</f>
        <v>Standard / Retain</v>
      </c>
    </row>
    <row r="81" customFormat="false" ht="15" hidden="false" customHeight="false" outlineLevel="0" collapsed="false">
      <c r="A81" s="18" t="str">
        <f aca="false">Customer_Data!A81</f>
        <v>CUST-1078</v>
      </c>
      <c r="B81" s="19" t="n">
        <f aca="false">MIN(Customer_Data!F81/Tier_Criteria!$C$5*100,100)</f>
        <v>67.60695</v>
      </c>
      <c r="C81" s="19" t="n">
        <f aca="false">MIN(Customer_Data!G81/Tier_Criteria!$C$6*100,100)</f>
        <v>27.1655277777778</v>
      </c>
      <c r="D81" s="19" t="n">
        <f aca="false">MIN(Customer_Data!H81/Tier_Criteria!$C$7*100,100)</f>
        <v>16.6666666666667</v>
      </c>
      <c r="E81" s="19" t="n">
        <f aca="false">MIN(Customer_Data!J81/Tier_Criteria!$C$8*100,100)</f>
        <v>24</v>
      </c>
      <c r="F81" s="19" t="n">
        <f aca="false">MIN(Customer_Data!K81/Tier_Criteria!$C$9*100,100)</f>
        <v>16.1506666666667</v>
      </c>
      <c r="G81" s="19" t="n">
        <f aca="false">B81*Tier_Criteria!$B$5+C81*Tier_Criteria!$B$6+D81*Tier_Criteria!$B$7+E81*Tier_Criteria!$B$8+F81*Tier_Criteria!$B$9</f>
        <v>37.7764144444444</v>
      </c>
      <c r="H81" s="13" t="str">
        <f aca="false">INDEX(Tier_Criteria!$A$15:$A$18,MATCH(G81,Tier_Criteria!$B$15:$B$18,1))</f>
        <v>Mass</v>
      </c>
      <c r="I81" s="18" t="str">
        <f aca="false">Customer_Data!I81</f>
        <v>N</v>
      </c>
      <c r="J81" s="13" t="str">
        <f aca="false">IF(AND(OR(H81="HNI",H81="UHNI"),I81="N"),"High Priority - No Investment Product",IF(AND(H81="Mass Affluent",I81="N"),"Medium Priority - Entry Wealth Product","Standard / Retain"))</f>
        <v>Standard / Retain</v>
      </c>
    </row>
    <row r="82" customFormat="false" ht="15" hidden="false" customHeight="false" outlineLevel="0" collapsed="false">
      <c r="A82" s="18" t="str">
        <f aca="false">Customer_Data!A82</f>
        <v>CUST-1079</v>
      </c>
      <c r="B82" s="19" t="n">
        <f aca="false">MIN(Customer_Data!F82/Tier_Criteria!$C$5*100,100)</f>
        <v>81.5919</v>
      </c>
      <c r="C82" s="19" t="n">
        <f aca="false">MIN(Customer_Data!G82/Tier_Criteria!$C$6*100,100)</f>
        <v>52.0425833333333</v>
      </c>
      <c r="D82" s="19" t="n">
        <f aca="false">MIN(Customer_Data!H82/Tier_Criteria!$C$7*100,100)</f>
        <v>16.6666666666667</v>
      </c>
      <c r="E82" s="19" t="n">
        <f aca="false">MIN(Customer_Data!J82/Tier_Criteria!$C$8*100,100)</f>
        <v>47</v>
      </c>
      <c r="F82" s="19" t="n">
        <f aca="false">MIN(Customer_Data!K82/Tier_Criteria!$C$9*100,100)</f>
        <v>47.4653333333333</v>
      </c>
      <c r="G82" s="19" t="n">
        <f aca="false">B82*Tier_Criteria!$B$5+C82*Tier_Criteria!$B$6+D82*Tier_Criteria!$B$7+E82*Tier_Criteria!$B$8+F82*Tier_Criteria!$B$9</f>
        <v>55.8876108333333</v>
      </c>
      <c r="H82" s="13" t="str">
        <f aca="false">INDEX(Tier_Criteria!$A$15:$A$18,MATCH(G82,Tier_Criteria!$B$15:$B$18,1))</f>
        <v>Mass Affluent</v>
      </c>
      <c r="I82" s="18" t="str">
        <f aca="false">Customer_Data!I82</f>
        <v>N</v>
      </c>
      <c r="J82" s="13" t="str">
        <f aca="false">IF(AND(OR(H82="HNI",H82="UHNI"),I82="N"),"High Priority - No Investment Product",IF(AND(H82="Mass Affluent",I82="N"),"Medium Priority - Entry Wealth Product","Standard / Retain"))</f>
        <v>Medium Priority - Entry Wealth Product</v>
      </c>
    </row>
    <row r="83" customFormat="false" ht="15" hidden="false" customHeight="false" outlineLevel="0" collapsed="false">
      <c r="A83" s="18" t="str">
        <f aca="false">Customer_Data!A83</f>
        <v>CUST-1080</v>
      </c>
      <c r="B83" s="19" t="n">
        <f aca="false">MIN(Customer_Data!F83/Tier_Criteria!$C$5*100,100)</f>
        <v>6.20195</v>
      </c>
      <c r="C83" s="19" t="n">
        <f aca="false">MIN(Customer_Data!G83/Tier_Criteria!$C$6*100,100)</f>
        <v>8.33333333333333</v>
      </c>
      <c r="D83" s="19" t="n">
        <f aca="false">MIN(Customer_Data!H83/Tier_Criteria!$C$7*100,100)</f>
        <v>16.6666666666667</v>
      </c>
      <c r="E83" s="19" t="n">
        <f aca="false">MIN(Customer_Data!J83/Tier_Criteria!$C$8*100,100)</f>
        <v>29</v>
      </c>
      <c r="F83" s="19" t="n">
        <f aca="false">MIN(Customer_Data!K83/Tier_Criteria!$C$9*100,100)</f>
        <v>3.34666666666667</v>
      </c>
      <c r="G83" s="19" t="n">
        <f aca="false">B83*Tier_Criteria!$B$5+C83*Tier_Criteria!$B$6+D83*Tier_Criteria!$B$7+E83*Tier_Criteria!$B$8+F83*Tier_Criteria!$B$9</f>
        <v>10.1560158333333</v>
      </c>
      <c r="H83" s="13" t="str">
        <f aca="false">INDEX(Tier_Criteria!$A$15:$A$18,MATCH(G83,Tier_Criteria!$B$15:$B$18,1))</f>
        <v>Mass</v>
      </c>
      <c r="I83" s="18" t="str">
        <f aca="false">Customer_Data!I83</f>
        <v>N</v>
      </c>
      <c r="J83" s="13" t="str">
        <f aca="false">IF(AND(OR(H83="HNI",H83="UHNI"),I83="N"),"High Priority - No Investment Product",IF(AND(H83="Mass Affluent",I83="N"),"Medium Priority - Entry Wealth Product","Standard / Retain"))</f>
        <v>Standard / Retain</v>
      </c>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12"/>
    <col collapsed="false" customWidth="true" hidden="false" outlineLevel="0" max="6" min="4" style="0" width="16"/>
  </cols>
  <sheetData>
    <row r="1" customFormat="false" ht="21.75" hidden="false" customHeight="true" outlineLevel="0" collapsed="false">
      <c r="A1" s="1" t="s">
        <v>161</v>
      </c>
      <c r="B1" s="1"/>
      <c r="C1" s="1"/>
      <c r="D1" s="1"/>
      <c r="E1" s="1"/>
      <c r="F1" s="1"/>
    </row>
    <row r="3" customFormat="false" ht="15" hidden="false" customHeight="false" outlineLevel="0" collapsed="false">
      <c r="A3" s="3" t="s">
        <v>162</v>
      </c>
    </row>
    <row r="4" customFormat="false" ht="15" hidden="false" customHeight="false" outlineLevel="0" collapsed="false">
      <c r="A4" s="6" t="s">
        <v>38</v>
      </c>
      <c r="B4" s="6" t="s">
        <v>163</v>
      </c>
      <c r="C4" s="6" t="s">
        <v>164</v>
      </c>
      <c r="D4" s="6" t="s">
        <v>165</v>
      </c>
      <c r="E4" s="6" t="s">
        <v>166</v>
      </c>
    </row>
    <row r="5" customFormat="false" ht="15" hidden="false" customHeight="false" outlineLevel="0" collapsed="false">
      <c r="A5" s="7" t="s">
        <v>41</v>
      </c>
      <c r="B5" s="13" t="n">
        <f aca="false">COUNTIF(Segmentation_Model!$H$4:$H$83,A5)</f>
        <v>32</v>
      </c>
      <c r="C5" s="20" t="n">
        <f aca="false">B5/SUM($B$5:$B$8)</f>
        <v>0.4</v>
      </c>
      <c r="D5" s="21" t="n">
        <f aca="false">SUMIF(Segmentation_Model!$H$4:$H$83,A5,Customer_Data!$F$4:$F$83)</f>
        <v>23059531</v>
      </c>
      <c r="E5" s="21" t="n">
        <f aca="false">IFERROR(D5/B5,0)</f>
        <v>720610.34375</v>
      </c>
    </row>
    <row r="6" customFormat="false" ht="15" hidden="false" customHeight="false" outlineLevel="0" collapsed="false">
      <c r="A6" s="7" t="s">
        <v>43</v>
      </c>
      <c r="B6" s="13" t="n">
        <f aca="false">COUNTIF(Segmentation_Model!$H$4:$H$83,A6)</f>
        <v>28</v>
      </c>
      <c r="C6" s="20" t="n">
        <f aca="false">B6/SUM($B$5:$B$8)</f>
        <v>0.35</v>
      </c>
      <c r="D6" s="21" t="n">
        <f aca="false">SUMIF(Segmentation_Model!$H$4:$H$83,A6,Customer_Data!$F$4:$F$83)</f>
        <v>53189240</v>
      </c>
      <c r="E6" s="21" t="n">
        <f aca="false">IFERROR(D6/B6,0)</f>
        <v>1899615.71428571</v>
      </c>
    </row>
    <row r="7" customFormat="false" ht="15" hidden="false" customHeight="false" outlineLevel="0" collapsed="false">
      <c r="A7" s="7" t="s">
        <v>45</v>
      </c>
      <c r="B7" s="13" t="n">
        <f aca="false">COUNTIF(Segmentation_Model!$H$4:$H$83,A7)</f>
        <v>18</v>
      </c>
      <c r="C7" s="20" t="n">
        <f aca="false">B7/SUM($B$5:$B$8)</f>
        <v>0.225</v>
      </c>
      <c r="D7" s="21" t="n">
        <f aca="false">SUMIF(Segmentation_Model!$H$4:$H$83,A7,Customer_Data!$F$4:$F$83)</f>
        <v>50238456</v>
      </c>
      <c r="E7" s="21" t="n">
        <f aca="false">IFERROR(D7/B7,0)</f>
        <v>2791025.33333333</v>
      </c>
    </row>
    <row r="8" customFormat="false" ht="15" hidden="false" customHeight="false" outlineLevel="0" collapsed="false">
      <c r="A8" s="7" t="s">
        <v>47</v>
      </c>
      <c r="B8" s="13" t="n">
        <f aca="false">COUNTIF(Segmentation_Model!$H$4:$H$83,A8)</f>
        <v>2</v>
      </c>
      <c r="C8" s="20" t="n">
        <f aca="false">B8/SUM($B$5:$B$8)</f>
        <v>0.025</v>
      </c>
      <c r="D8" s="21" t="n">
        <f aca="false">SUMIF(Segmentation_Model!$H$4:$H$83,A8,Customer_Data!$F$4:$F$83)</f>
        <v>6863247</v>
      </c>
      <c r="E8" s="21" t="n">
        <f aca="false">IFERROR(D8/B8,0)</f>
        <v>3431623.5</v>
      </c>
    </row>
    <row r="10" customFormat="false" ht="15" hidden="false" customHeight="false" outlineLevel="0" collapsed="false">
      <c r="A10" s="4" t="s">
        <v>167</v>
      </c>
      <c r="B10" s="4" t="n">
        <f aca="false">SUM(B5:B8)</f>
        <v>80</v>
      </c>
      <c r="D10" s="22" t="n">
        <f aca="false">SUM(D5:D8)</f>
        <v>133350474</v>
      </c>
    </row>
    <row r="13" customFormat="false" ht="15" hidden="false" customHeight="false" outlineLevel="0" collapsed="false">
      <c r="A13" s="3" t="s">
        <v>168</v>
      </c>
    </row>
    <row r="14" customFormat="false" ht="15" hidden="false" customHeight="false" outlineLevel="0" collapsed="false">
      <c r="A14" s="6" t="s">
        <v>169</v>
      </c>
      <c r="B14" s="6" t="s">
        <v>163</v>
      </c>
    </row>
    <row r="15" customFormat="false" ht="15" hidden="false" customHeight="false" outlineLevel="0" collapsed="false">
      <c r="A15" s="7" t="s">
        <v>170</v>
      </c>
      <c r="B15" s="13" t="n">
        <f aca="false">COUNTIF(Segmentation_Model!$J$4:$J$83,A15)</f>
        <v>4</v>
      </c>
    </row>
    <row r="16" customFormat="false" ht="15" hidden="false" customHeight="false" outlineLevel="0" collapsed="false">
      <c r="A16" s="7" t="s">
        <v>171</v>
      </c>
      <c r="B16" s="13" t="n">
        <f aca="false">COUNTIF(Segmentation_Model!$J$4:$J$83,A16)</f>
        <v>26</v>
      </c>
    </row>
    <row r="17" customFormat="false" ht="15" hidden="false" customHeight="false" outlineLevel="0" collapsed="false">
      <c r="A17" s="7" t="s">
        <v>172</v>
      </c>
      <c r="B17" s="13" t="n">
        <f aca="false">COUNTIF(Segmentation_Model!$J$4:$J$83,A17)</f>
        <v>50</v>
      </c>
    </row>
    <row r="20" customFormat="false" ht="15" hidden="false" customHeight="false" outlineLevel="0" collapsed="false">
      <c r="A20" s="3" t="s">
        <v>173</v>
      </c>
    </row>
    <row r="21" customFormat="false" ht="30" hidden="false" customHeight="true" outlineLevel="0" collapsed="false">
      <c r="A21" s="23" t="str">
        <f aca="false">CONCATENATE("Of ",B10," customers, ",B15," are HNI/UHNI with zero investment product penetration — ",TEXT(B15/B10,"0.0%")," of the base represents immediate cross-sell revenue at risk of attrition to a competing wealth platform.")</f>
        <v>Of 80 customers, 4 are HNI/UHNI with zero investment product penetration — 5.0% of the base represents immediate cross-sell revenue at risk of attrition to a competing wealth platform.</v>
      </c>
      <c r="B21" s="23"/>
      <c r="C21" s="23"/>
      <c r="D21" s="23"/>
      <c r="E21" s="23"/>
      <c r="F21" s="23"/>
    </row>
  </sheetData>
  <mergeCells count="2">
    <mergeCell ref="A1:F1"/>
    <mergeCell ref="A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2026-07-29T05:54:23Z</dcterms:created>
  <dc:creator>openpyxl</dc:creator>
  <dc:description/>
  <dc:language>en-US</dc:language>
  <cp:lastModifiedBy/>
  <dcterms:modified xsi:type="dcterms:W3CDTF">2026-07-29T05:54:25Z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